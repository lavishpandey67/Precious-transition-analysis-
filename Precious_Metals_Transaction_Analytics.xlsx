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Transaction Summary" sheetId="3" state="visible" r:id="rId5"/>
    <sheet name="Price Bucket Analysis" sheetId="4" state="visible" r:id="rId6"/>
    <sheet name="Chronological 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<sst xmlns="http://schemas.openxmlformats.org/spreadsheetml/2006/main" count="609" uniqueCount="67">
  <si>
    <t xml:space="preserve">Precious Metals Transaction Analytics — Dashboard</t>
  </si>
  <si>
    <t xml:space="preserve">Total Amount (Rs)</t>
  </si>
  <si>
    <t xml:space="preserve">Total Transactions</t>
  </si>
  <si>
    <t xml:space="preserve">Avg Transaction (Rs)</t>
  </si>
  <si>
    <t xml:space="preserve">GST Impact</t>
  </si>
  <si>
    <t xml:space="preserve">Chart Support Data</t>
  </si>
  <si>
    <t xml:space="preserve">Asset</t>
  </si>
  <si>
    <t xml:space="preserve">Amount (Rs)</t>
  </si>
  <si>
    <t xml:space="preserve">Gold</t>
  </si>
  <si>
    <t xml:space="preserve">Silver</t>
  </si>
  <si>
    <t xml:space="preserve">Quarter</t>
  </si>
  <si>
    <t xml:space="preserve">Gold (Rs)</t>
  </si>
  <si>
    <t xml:space="preserve">Silver (Rs)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</si>
  <si>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</si>
  <si>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</si>
  <si>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</si>
  <si>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</si>
  <si>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</si>
  <si>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</si>
  <si>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</si>
  <si>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</si>
  <si>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</si>
  <si>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</si>
  <si>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</si>
  <si>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Precious Metals Transaction Analytics — Purchase Transaction Log</t>
  </si>
  <si>
    <t xml:space="preserve">Dataset: Synthetically generated, modeled on realistic gold &amp; silver purchase patterns — built to practice data consolidation, analysis, and reporting workflows.</t>
  </si>
  <si>
    <t xml:space="preserve">176 transactions — Jan 2024 to Jul 2026, Gold + Silver.</t>
  </si>
  <si>
    <t xml:space="preserve">#</t>
  </si>
  <si>
    <t xml:space="preserve">Date</t>
  </si>
  <si>
    <t xml:space="preserve">Provider</t>
  </si>
  <si>
    <t xml:space="preserve">Total Amount Paid (Rs)</t>
  </si>
  <si>
    <t xml:space="preserve">Metal Value (Rs)</t>
  </si>
  <si>
    <t xml:space="preserve">GST Paid (Rs)</t>
  </si>
  <si>
    <t xml:space="preserve">Quantity (g)</t>
  </si>
  <si>
    <t xml:space="preserve">Buy Price (Rs/g)</t>
  </si>
  <si>
    <t xml:space="preserve">Price Bucket</t>
  </si>
  <si>
    <t xml:space="preserve">SafeGold</t>
  </si>
  <si>
    <t xml:space="preserve">MMTC-PAMP</t>
  </si>
  <si>
    <t xml:space="preserve">CaratLane</t>
  </si>
  <si>
    <t xml:space="preserve">Transaction Summary</t>
  </si>
  <si>
    <t xml:space="preserve">All figures computed via formulas referencing the Transactions sheet.</t>
  </si>
  <si>
    <t xml:space="preserve">Metric</t>
  </si>
  <si>
    <t xml:space="preserve">Combined</t>
  </si>
  <si>
    <t xml:space="preserve">Total Metal Value (Rs)</t>
  </si>
  <si>
    <t xml:space="preserve">Total GST Paid (Rs)</t>
  </si>
  <si>
    <t xml:space="preserve">Total Quantity (g)</t>
  </si>
  <si>
    <t xml:space="preserve">Average Buy Price (Rs/g)</t>
  </si>
  <si>
    <t xml:space="preserve">GST as % of Spend</t>
  </si>
  <si>
    <t xml:space="preserve">Average Transaction Size (Rs)</t>
  </si>
  <si>
    <t xml:space="preserve">Price Bucket Analysis</t>
  </si>
  <si>
    <t xml:space="preserve">Transactions grouped by buy-price range (Gold: Rs 1,000 buckets · Silver: Rs 20 buckets).</t>
  </si>
  <si>
    <t xml:space="preserve">Gold — Price Buckets</t>
  </si>
  <si>
    <t xml:space="preserve">Price Bucket (Rs/g)</t>
  </si>
  <si>
    <t xml:space="preserve"># Transactions</t>
  </si>
  <si>
    <t xml:space="preserve">Total Qty (g)</t>
  </si>
  <si>
    <t xml:space="preserve">% of Total</t>
  </si>
  <si>
    <t xml:space="preserve">5,000-6,000</t>
  </si>
  <si>
    <t xml:space="preserve">6,000-7,000</t>
  </si>
  <si>
    <t xml:space="preserve">7,000-8,000</t>
  </si>
  <si>
    <t xml:space="preserve">8,000-9,000</t>
  </si>
  <si>
    <t xml:space="preserve">Silver — Price Buckets</t>
  </si>
  <si>
    <t xml:space="preserve">60-80</t>
  </si>
  <si>
    <t xml:space="preserve">80-100</t>
  </si>
  <si>
    <t xml:space="preserve">100-120</t>
  </si>
  <si>
    <t xml:space="preserve">Chronological Transaction Timeline</t>
  </si>
  <si>
    <t xml:space="preserve">All 176 transactions in date order, both metals combined, with running cumulative total.</t>
  </si>
  <si>
    <t xml:space="preserve">Cumulative Amount (Rs)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</si>
</sst>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%"/>
    <numFmt numFmtId="168" formatCode="#,##0.00"/>
    <numFmt numFmtId="169" formatCode="yyyy\-mm\-dd"/>
    <numFmt numFmtId="170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FFFFF"/>
      </patternFill>
    </fill>
    <fill>
      <patternFill patternType="solid">
        <fgColor rgb="FF4472C4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Gold vs Silver — Category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Dashboard!B8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Dashboard!$A$9:$A$10</c:f>
              <c:strCache>
                <c:ptCount val="2"/>
                <c:pt idx="0">
                  <c:v>Gold</c:v>
                </c:pt>
                <c:pt idx="1">
                  <c:v>Silver</c:v>
                </c:pt>
              </c:strCache>
            </c:strRef>
          </c:cat>
          <c:val>
            <c:numRef>
              <c:f>Dashboard!$B$9:$B$10</c:f>
              <c:numCache>
                <c:formatCode>#,##0.00</c:formatCode>
                <c:ptCount val="2"/>
                <c:pt idx="0">
                  <c:v>764000</c:v>
                </c:pt>
                <c:pt idx="1">
                  <c:v>886000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Transaction Amount — Gold vs Silver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Gold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Dashboard!$A$13:$A$23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Dashboard!$B$13:$B$23</c:f>
              <c:numCache>
                <c:formatCode>General</c:formatCode>
                <c:ptCount val="11"/>
                <c:pt idx="0">
                  <c:v>78000</c:v>
                </c:pt>
                <c:pt idx="1">
                  <c:v>43500</c:v>
                </c:pt>
                <c:pt idx="2">
                  <c:v>103500</c:v>
                </c:pt>
                <c:pt idx="3">
                  <c:v>75500</c:v>
                </c:pt>
                <c:pt idx="4">
                  <c:v>34000</c:v>
                </c:pt>
                <c:pt idx="5">
                  <c:v>100000</c:v>
                </c:pt>
                <c:pt idx="6">
                  <c:v>78000</c:v>
                </c:pt>
                <c:pt idx="7">
                  <c:v>81000</c:v>
                </c:pt>
                <c:pt idx="8">
                  <c:v>118000</c:v>
                </c:pt>
                <c:pt idx="9">
                  <c:v>52500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Dashboard!C12</c:f>
              <c:strCache>
                <c:ptCount val="1"/>
                <c:pt idx="0">
                  <c:v>Silver (Rs)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Dashboard!$A$13:$A$23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Dashboard!$C$13:$C$23</c:f>
              <c:numCache>
                <c:formatCode>General</c:formatCode>
                <c:ptCount val="11"/>
                <c:pt idx="0">
                  <c:v>89000</c:v>
                </c:pt>
                <c:pt idx="1">
                  <c:v>40500</c:v>
                </c:pt>
                <c:pt idx="2">
                  <c:v>105000</c:v>
                </c:pt>
                <c:pt idx="3">
                  <c:v>101500</c:v>
                </c:pt>
                <c:pt idx="4">
                  <c:v>59000</c:v>
                </c:pt>
                <c:pt idx="5">
                  <c:v>138000</c:v>
                </c:pt>
                <c:pt idx="6">
                  <c:v>101000</c:v>
                </c:pt>
                <c:pt idx="7">
                  <c:v>81500</c:v>
                </c:pt>
                <c:pt idx="8">
                  <c:v>71000</c:v>
                </c:pt>
                <c:pt idx="9">
                  <c:v>31000</c:v>
                </c:pt>
                <c:pt idx="10">
                  <c:v>68500</c:v>
                </c:pt>
              </c:numCache>
            </c:numRef>
          </c:val>
        </c:ser>
        <c:gapWidth val="150"/>
        <c:overlap val="100"/>
        <c:axId val="67669950"/>
        <c:axId val="71525736"/>
      </c:barChart>
      <c:catAx>
        <c:axId val="67669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25736"/>
        <c:crosses val="autoZero"/>
        <c:auto val="1"/>
        <c:lblAlgn val="ctr"/>
        <c:lblOffset val="100"/>
        <c:noMultiLvlLbl val="0"/>
      </c:catAx>
      <c:valAx>
        <c:axId val="715257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69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Transaction Amount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'Chronological Timeline'!G4</c:f>
              <c:strCache>
                <c:ptCount val="1"/>
                <c:pt idx="0">
                  <c:v>Cumulative Amount (Rs)</c:v>
                </c:pt>
              </c:strCache>
            </c:strRef>
          </c:tx>
          <c:spPr>
            <a:solidFill>
              <a:srgbClr val="1f4e78"/>
            </a:solidFill>
            <a:ln w="201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'Chronological Timeline'!$G$5:$G$180</c:f>
              <c:numCache>
                <c:formatCode>#,##0</c:formatCode>
                <c:ptCount val="176"/>
                <c:pt idx="0">
                  <c:v>12000</c:v>
                </c:pt>
                <c:pt idx="1">
                  <c:v>19500</c:v>
                </c:pt>
                <c:pt idx="2">
                  <c:v>24500</c:v>
                </c:pt>
                <c:pt idx="3">
                  <c:v>26500</c:v>
                </c:pt>
                <c:pt idx="4">
                  <c:v>32500</c:v>
                </c:pt>
                <c:pt idx="5">
                  <c:v>44500</c:v>
                </c:pt>
                <c:pt idx="6">
                  <c:v>47500</c:v>
                </c:pt>
                <c:pt idx="7">
                  <c:v>67500</c:v>
                </c:pt>
                <c:pt idx="8">
                  <c:v>85500</c:v>
                </c:pt>
                <c:pt idx="9">
                  <c:v>88500</c:v>
                </c:pt>
                <c:pt idx="10">
                  <c:v>90500</c:v>
                </c:pt>
                <c:pt idx="11">
                  <c:v>125500</c:v>
                </c:pt>
                <c:pt idx="12">
                  <c:v>135500</c:v>
                </c:pt>
                <c:pt idx="13">
                  <c:v>143000</c:v>
                </c:pt>
                <c:pt idx="14">
                  <c:v>151000</c:v>
                </c:pt>
                <c:pt idx="15">
                  <c:v>155000</c:v>
                </c:pt>
                <c:pt idx="16">
                  <c:v>165000</c:v>
                </c:pt>
                <c:pt idx="17">
                  <c:v>167000</c:v>
                </c:pt>
                <c:pt idx="18">
                  <c:v>169000</c:v>
                </c:pt>
                <c:pt idx="19">
                  <c:v>170000</c:v>
                </c:pt>
                <c:pt idx="20">
                  <c:v>171500</c:v>
                </c:pt>
                <c:pt idx="21">
                  <c:v>177500</c:v>
                </c:pt>
                <c:pt idx="22">
                  <c:v>187500</c:v>
                </c:pt>
                <c:pt idx="23">
                  <c:v>191500</c:v>
                </c:pt>
                <c:pt idx="24">
                  <c:v>206500</c:v>
                </c:pt>
                <c:pt idx="25">
                  <c:v>231500</c:v>
                </c:pt>
                <c:pt idx="26">
                  <c:v>239000</c:v>
                </c:pt>
                <c:pt idx="27">
                  <c:v>244000</c:v>
                </c:pt>
                <c:pt idx="28">
                  <c:v>247000</c:v>
                </c:pt>
                <c:pt idx="29">
                  <c:v>249000</c:v>
                </c:pt>
                <c:pt idx="30">
                  <c:v>250000</c:v>
                </c:pt>
                <c:pt idx="31">
                  <c:v>251000</c:v>
                </c:pt>
                <c:pt idx="32">
                  <c:v>256000</c:v>
                </c:pt>
                <c:pt idx="33">
                  <c:v>276000</c:v>
                </c:pt>
                <c:pt idx="34">
                  <c:v>280000</c:v>
                </c:pt>
                <c:pt idx="35">
                  <c:v>282000</c:v>
                </c:pt>
                <c:pt idx="36">
                  <c:v>317000</c:v>
                </c:pt>
                <c:pt idx="37">
                  <c:v>321000</c:v>
                </c:pt>
                <c:pt idx="38">
                  <c:v>323500</c:v>
                </c:pt>
                <c:pt idx="39">
                  <c:v>338500</c:v>
                </c:pt>
                <c:pt idx="40">
                  <c:v>342500</c:v>
                </c:pt>
                <c:pt idx="41">
                  <c:v>344000</c:v>
                </c:pt>
                <c:pt idx="42">
                  <c:v>364000</c:v>
                </c:pt>
                <c:pt idx="43">
                  <c:v>384000</c:v>
                </c:pt>
                <c:pt idx="44">
                  <c:v>391500</c:v>
                </c:pt>
                <c:pt idx="45">
                  <c:v>392500</c:v>
                </c:pt>
                <c:pt idx="46">
                  <c:v>400500</c:v>
                </c:pt>
                <c:pt idx="47">
                  <c:v>402000</c:v>
                </c:pt>
                <c:pt idx="48">
                  <c:v>414000</c:v>
                </c:pt>
                <c:pt idx="49">
                  <c:v>449000</c:v>
                </c:pt>
                <c:pt idx="50">
                  <c:v>457000</c:v>
                </c:pt>
                <c:pt idx="51">
                  <c:v>459500</c:v>
                </c:pt>
                <c:pt idx="52">
                  <c:v>469500</c:v>
                </c:pt>
                <c:pt idx="53">
                  <c:v>470500</c:v>
                </c:pt>
                <c:pt idx="54">
                  <c:v>485500</c:v>
                </c:pt>
                <c:pt idx="55">
                  <c:v>495500</c:v>
                </c:pt>
                <c:pt idx="56">
                  <c:v>507500</c:v>
                </c:pt>
                <c:pt idx="57">
                  <c:v>527500</c:v>
                </c:pt>
                <c:pt idx="58">
                  <c:v>547500</c:v>
                </c:pt>
                <c:pt idx="59">
                  <c:v>550500</c:v>
                </c:pt>
                <c:pt idx="60">
                  <c:v>570500</c:v>
                </c:pt>
                <c:pt idx="61">
                  <c:v>573000</c:v>
                </c:pt>
                <c:pt idx="62">
                  <c:v>574500</c:v>
                </c:pt>
                <c:pt idx="63">
                  <c:v>577500</c:v>
                </c:pt>
                <c:pt idx="64">
                  <c:v>582500</c:v>
                </c:pt>
                <c:pt idx="65">
                  <c:v>587500</c:v>
                </c:pt>
                <c:pt idx="66">
                  <c:v>589000</c:v>
                </c:pt>
                <c:pt idx="67">
                  <c:v>596500</c:v>
                </c:pt>
                <c:pt idx="68">
                  <c:v>626500</c:v>
                </c:pt>
                <c:pt idx="69">
                  <c:v>628500</c:v>
                </c:pt>
                <c:pt idx="70">
                  <c:v>636500</c:v>
                </c:pt>
                <c:pt idx="71">
                  <c:v>638000</c:v>
                </c:pt>
                <c:pt idx="72">
                  <c:v>645500</c:v>
                </c:pt>
                <c:pt idx="73">
                  <c:v>653500</c:v>
                </c:pt>
                <c:pt idx="74">
                  <c:v>663500</c:v>
                </c:pt>
                <c:pt idx="75">
                  <c:v>669500</c:v>
                </c:pt>
                <c:pt idx="76">
                  <c:v>694500</c:v>
                </c:pt>
                <c:pt idx="77">
                  <c:v>699500</c:v>
                </c:pt>
                <c:pt idx="78">
                  <c:v>701000</c:v>
                </c:pt>
                <c:pt idx="79">
                  <c:v>703500</c:v>
                </c:pt>
                <c:pt idx="80">
                  <c:v>713500</c:v>
                </c:pt>
                <c:pt idx="81">
                  <c:v>723500</c:v>
                </c:pt>
                <c:pt idx="82">
                  <c:v>729500</c:v>
                </c:pt>
                <c:pt idx="83">
                  <c:v>731000</c:v>
                </c:pt>
                <c:pt idx="84">
                  <c:v>746000</c:v>
                </c:pt>
                <c:pt idx="85">
                  <c:v>781000</c:v>
                </c:pt>
                <c:pt idx="86">
                  <c:v>785000</c:v>
                </c:pt>
                <c:pt idx="87">
                  <c:v>795000</c:v>
                </c:pt>
                <c:pt idx="88">
                  <c:v>813000</c:v>
                </c:pt>
                <c:pt idx="89">
                  <c:v>819000</c:v>
                </c:pt>
                <c:pt idx="90">
                  <c:v>821000</c:v>
                </c:pt>
                <c:pt idx="91">
                  <c:v>825000</c:v>
                </c:pt>
                <c:pt idx="92">
                  <c:v>827500</c:v>
                </c:pt>
                <c:pt idx="93">
                  <c:v>837500</c:v>
                </c:pt>
                <c:pt idx="94">
                  <c:v>845000</c:v>
                </c:pt>
                <c:pt idx="95">
                  <c:v>850000</c:v>
                </c:pt>
                <c:pt idx="96">
                  <c:v>870000</c:v>
                </c:pt>
                <c:pt idx="97">
                  <c:v>874000</c:v>
                </c:pt>
                <c:pt idx="98">
                  <c:v>894000</c:v>
                </c:pt>
                <c:pt idx="99">
                  <c:v>901500</c:v>
                </c:pt>
                <c:pt idx="100">
                  <c:v>907500</c:v>
                </c:pt>
                <c:pt idx="101">
                  <c:v>932500</c:v>
                </c:pt>
                <c:pt idx="102">
                  <c:v>934500</c:v>
                </c:pt>
                <c:pt idx="103">
                  <c:v>942500</c:v>
                </c:pt>
                <c:pt idx="104">
                  <c:v>943500</c:v>
                </c:pt>
                <c:pt idx="105">
                  <c:v>955500</c:v>
                </c:pt>
                <c:pt idx="106">
                  <c:v>957500</c:v>
                </c:pt>
                <c:pt idx="107">
                  <c:v>967500</c:v>
                </c:pt>
                <c:pt idx="108">
                  <c:v>982500</c:v>
                </c:pt>
                <c:pt idx="109">
                  <c:v>985500</c:v>
                </c:pt>
                <c:pt idx="110">
                  <c:v>993000</c:v>
                </c:pt>
                <c:pt idx="111">
                  <c:v>1001000</c:v>
                </c:pt>
                <c:pt idx="112">
                  <c:v>1009000</c:v>
                </c:pt>
                <c:pt idx="113">
                  <c:v>1013000</c:v>
                </c:pt>
                <c:pt idx="114">
                  <c:v>1014000</c:v>
                </c:pt>
                <c:pt idx="115">
                  <c:v>1015500</c:v>
                </c:pt>
                <c:pt idx="116">
                  <c:v>1016500</c:v>
                </c:pt>
                <c:pt idx="117">
                  <c:v>1022500</c:v>
                </c:pt>
                <c:pt idx="118">
                  <c:v>1042500</c:v>
                </c:pt>
                <c:pt idx="119">
                  <c:v>1044500</c:v>
                </c:pt>
                <c:pt idx="120">
                  <c:v>1047000</c:v>
                </c:pt>
                <c:pt idx="121">
                  <c:v>1055000</c:v>
                </c:pt>
                <c:pt idx="122">
                  <c:v>1067000</c:v>
                </c:pt>
                <c:pt idx="123">
                  <c:v>1074500</c:v>
                </c:pt>
                <c:pt idx="124">
                  <c:v>1089500</c:v>
                </c:pt>
                <c:pt idx="125">
                  <c:v>1099500</c:v>
                </c:pt>
                <c:pt idx="126">
                  <c:v>1103500</c:v>
                </c:pt>
                <c:pt idx="127">
                  <c:v>1105500</c:v>
                </c:pt>
                <c:pt idx="128">
                  <c:v>1120500</c:v>
                </c:pt>
                <c:pt idx="129">
                  <c:v>1128500</c:v>
                </c:pt>
                <c:pt idx="130">
                  <c:v>1138500</c:v>
                </c:pt>
                <c:pt idx="131">
                  <c:v>1146500</c:v>
                </c:pt>
                <c:pt idx="132">
                  <c:v>1158500</c:v>
                </c:pt>
                <c:pt idx="133">
                  <c:v>1178500</c:v>
                </c:pt>
                <c:pt idx="134">
                  <c:v>1198500</c:v>
                </c:pt>
                <c:pt idx="135">
                  <c:v>1200500</c:v>
                </c:pt>
                <c:pt idx="136">
                  <c:v>1203000</c:v>
                </c:pt>
                <c:pt idx="137">
                  <c:v>1210500</c:v>
                </c:pt>
                <c:pt idx="138">
                  <c:v>1218000</c:v>
                </c:pt>
                <c:pt idx="139">
                  <c:v>1223000</c:v>
                </c:pt>
                <c:pt idx="140">
                  <c:v>1231000</c:v>
                </c:pt>
                <c:pt idx="141">
                  <c:v>1233000</c:v>
                </c:pt>
                <c:pt idx="142">
                  <c:v>1251000</c:v>
                </c:pt>
                <c:pt idx="143">
                  <c:v>1281000</c:v>
                </c:pt>
                <c:pt idx="144">
                  <c:v>1289000</c:v>
                </c:pt>
                <c:pt idx="145">
                  <c:v>1309000</c:v>
                </c:pt>
                <c:pt idx="146">
                  <c:v>1334000</c:v>
                </c:pt>
                <c:pt idx="147">
                  <c:v>1336000</c:v>
                </c:pt>
                <c:pt idx="148">
                  <c:v>1346000</c:v>
                </c:pt>
                <c:pt idx="149">
                  <c:v>1352000</c:v>
                </c:pt>
                <c:pt idx="150">
                  <c:v>1382000</c:v>
                </c:pt>
                <c:pt idx="151">
                  <c:v>1387000</c:v>
                </c:pt>
                <c:pt idx="152">
                  <c:v>1407000</c:v>
                </c:pt>
                <c:pt idx="153">
                  <c:v>1422000</c:v>
                </c:pt>
                <c:pt idx="154">
                  <c:v>1423500</c:v>
                </c:pt>
                <c:pt idx="155">
                  <c:v>1443500</c:v>
                </c:pt>
                <c:pt idx="156">
                  <c:v>1455500</c:v>
                </c:pt>
                <c:pt idx="157">
                  <c:v>1485500</c:v>
                </c:pt>
                <c:pt idx="158">
                  <c:v>1495500</c:v>
                </c:pt>
                <c:pt idx="159">
                  <c:v>1498000</c:v>
                </c:pt>
                <c:pt idx="160">
                  <c:v>1510000</c:v>
                </c:pt>
                <c:pt idx="161">
                  <c:v>1515000</c:v>
                </c:pt>
                <c:pt idx="162">
                  <c:v>1540000</c:v>
                </c:pt>
                <c:pt idx="163">
                  <c:v>1552000</c:v>
                </c:pt>
                <c:pt idx="164">
                  <c:v>1562000</c:v>
                </c:pt>
                <c:pt idx="165">
                  <c:v>1563500</c:v>
                </c:pt>
                <c:pt idx="166">
                  <c:v>1566500</c:v>
                </c:pt>
                <c:pt idx="167">
                  <c:v>1571500</c:v>
                </c:pt>
                <c:pt idx="168">
                  <c:v>1573500</c:v>
                </c:pt>
                <c:pt idx="169">
                  <c:v>1575500</c:v>
                </c:pt>
                <c:pt idx="170">
                  <c:v>1581500</c:v>
                </c:pt>
                <c:pt idx="171">
                  <c:v>1599500</c:v>
                </c:pt>
                <c:pt idx="172">
                  <c:v>1629500</c:v>
                </c:pt>
                <c:pt idx="173">
                  <c:v>1632500</c:v>
                </c:pt>
                <c:pt idx="174">
                  <c:v>1647500</c:v>
                </c:pt>
                <c:pt idx="175">
                  <c:v>1650000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525974"/>
        <c:axId val="79222194"/>
      </c:lineChart>
      <c:catAx>
        <c:axId val="94525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22194"/>
        <c:crosses val="autoZero"/>
        <c:auto val="1"/>
        <c:lblAlgn val="ctr"/>
        <c:lblOffset val="100"/>
        <c:noMultiLvlLbl val="0"/>
      </c:catAx>
      <c:valAx>
        <c:axId val="792221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59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41400</xdr:rowOff>
    </xdr:from>
    <xdr:to>
      <xdr:col>7</xdr:col>
      <xdr:colOff>38880</xdr:colOff>
      <xdr:row>19</xdr:row>
      <xdr:rowOff>63000</xdr:rowOff>
    </xdr:to>
    <xdr:graphicFrame>
      <xdr:nvGraphicFramePr>
        <xdr:cNvPr id="0" name="Chart 1"/>
        <xdr:cNvGraphicFramePr/>
      </xdr:nvGraphicFramePr>
      <xdr:xfrm>
        <a:off x="0" y="946440"/>
        <a:ext cx="431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</xdr:row>
      <xdr:rowOff>41400</xdr:rowOff>
    </xdr:from>
    <xdr:to>
      <xdr:col>14</xdr:col>
      <xdr:colOff>255600</xdr:colOff>
      <xdr:row>19</xdr:row>
      <xdr:rowOff>63000</xdr:rowOff>
    </xdr:to>
    <xdr:graphicFrame>
      <xdr:nvGraphicFramePr>
        <xdr:cNvPr id="1" name="Chart 2"/>
        <xdr:cNvGraphicFramePr/>
      </xdr:nvGraphicFramePr>
      <xdr:xfrm>
        <a:off x="3057480" y="946440"/>
        <a:ext cx="575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41400</xdr:rowOff>
    </xdr:from>
    <xdr:to>
      <xdr:col>9</xdr:col>
      <xdr:colOff>255600</xdr:colOff>
      <xdr:row>35</xdr:row>
      <xdr:rowOff>63360</xdr:rowOff>
    </xdr:to>
    <xdr:graphicFrame>
      <xdr:nvGraphicFramePr>
        <xdr:cNvPr id="2" name="Chart 3"/>
        <xdr:cNvGraphicFramePr/>
      </xdr:nvGraphicFramePr>
      <xdr:xfrm>
        <a:off x="0" y="399420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1.75" hidden="false" customHeight="true" outlineLevel="0" collapsed="false">
      <c r="A4" s="3" t="n">
        <f aca="false">'Transaction Summary'!D6</f>
        <v>1650000</v>
      </c>
      <c r="B4" s="3"/>
      <c r="C4" s="4" t="n">
        <f aca="false">'Transaction Summary'!D5</f>
        <v>176</v>
      </c>
      <c r="D4" s="4"/>
      <c r="E4" s="3" t="n">
        <f aca="false">'Transaction Summary'!D12</f>
        <v>9375</v>
      </c>
      <c r="F4" s="3"/>
      <c r="G4" s="5" t="n">
        <f aca="false">'Transaction Summary'!D11</f>
        <v>0.0299999534315173</v>
      </c>
      <c r="H4" s="5"/>
    </row>
    <row r="7" customFormat="false" ht="15" hidden="false" customHeight="true" outlineLevel="0" collapsed="false">
      <c r="A7" s="6" t="s">
        <v>5</v>
      </c>
    </row>
    <row r="8" customFormat="false" ht="15" hidden="false" customHeight="true" outlineLevel="0" collapsed="false">
      <c r="A8" s="7" t="s">
        <v>6</v>
      </c>
      <c r="B8" s="7" t="s">
        <v>7</v>
      </c>
    </row>
    <row r="9" customFormat="false" ht="15" hidden="false" customHeight="true" outlineLevel="0" collapsed="false">
      <c r="A9" s="7" t="s">
        <v>8</v>
      </c>
      <c r="B9" s="8" t="n">
        <f aca="false">'Transaction Summary'!B6</f>
        <v>764000</v>
      </c>
    </row>
    <row r="10" customFormat="false" ht="15" hidden="false" customHeight="true" outlineLevel="0" collapsed="false">
      <c r="A10" s="7" t="s">
        <v>9</v>
      </c>
      <c r="B10" s="8" t="n">
        <f aca="false">'Transaction Summary'!C6</f>
        <v>886000</v>
      </c>
    </row>
    <row r="12" customFormat="false" ht="15" hidden="false" customHeight="true" outlineLevel="0" collapsed="false">
      <c r="A12" s="7" t="s">
        <v>10</v>
      </c>
      <c r="B12" s="7" t="s">
        <v>11</v>
      </c>
      <c r="C12" s="7" t="s">
        <v>12</v>
      </c>
    </row>
    <row r="13" customFormat="false" ht="15" hidden="false" customHeight="true" outlineLevel="0" collapsed="false">
      <c r="A13" s="7" t="s">
        <v>13</v>
      </c>
      <c r="B13" s="7" t="n">
        <v>78000</v>
      </c>
      <c r="C13" s="7" t="n">
        <v>89000</v>
      </c>
    </row>
    <row r="14" customFormat="false" ht="15" hidden="false" customHeight="true" outlineLevel="0" collapsed="false">
      <c r="A14" s="7" t="s">
        <v>14</v>
      </c>
      <c r="B14" s="7" t="n">
        <v>43500</v>
      </c>
      <c r="C14" s="7" t="n">
        <v>40500</v>
      </c>
    </row>
    <row r="15" customFormat="false" ht="15" hidden="false" customHeight="true" outlineLevel="0" collapsed="false">
      <c r="A15" s="7" t="s">
        <v>15</v>
      </c>
      <c r="B15" s="7" t="n">
        <v>103500</v>
      </c>
      <c r="C15" s="7" t="n">
        <v>105000</v>
      </c>
    </row>
    <row r="16" customFormat="false" ht="15" hidden="false" customHeight="true" outlineLevel="0" collapsed="false">
      <c r="A16" s="7" t="s">
        <v>16</v>
      </c>
      <c r="B16" s="7" t="n">
        <v>75500</v>
      </c>
      <c r="C16" s="7" t="n">
        <v>101500</v>
      </c>
    </row>
    <row r="17" customFormat="false" ht="15" hidden="false" customHeight="true" outlineLevel="0" collapsed="false">
      <c r="A17" s="7" t="s">
        <v>17</v>
      </c>
      <c r="B17" s="7" t="n">
        <v>34000</v>
      </c>
      <c r="C17" s="7" t="n">
        <v>59000</v>
      </c>
    </row>
    <row r="18" customFormat="false" ht="15" hidden="false" customHeight="true" outlineLevel="0" collapsed="false">
      <c r="A18" s="7" t="s">
        <v>18</v>
      </c>
      <c r="B18" s="7" t="n">
        <v>100000</v>
      </c>
      <c r="C18" s="7" t="n">
        <v>138000</v>
      </c>
    </row>
    <row r="19" customFormat="false" ht="15" hidden="false" customHeight="true" outlineLevel="0" collapsed="false">
      <c r="A19" s="7" t="s">
        <v>19</v>
      </c>
      <c r="B19" s="7" t="n">
        <v>78000</v>
      </c>
      <c r="C19" s="7" t="n">
        <v>101000</v>
      </c>
    </row>
    <row r="20" customFormat="false" ht="15" hidden="false" customHeight="true" outlineLevel="0" collapsed="false">
      <c r="A20" s="7" t="s">
        <v>20</v>
      </c>
      <c r="B20" s="7" t="n">
        <v>81000</v>
      </c>
      <c r="C20" s="7" t="n">
        <v>81500</v>
      </c>
    </row>
    <row r="21" customFormat="false" ht="15" hidden="false" customHeight="true" outlineLevel="0" collapsed="false">
      <c r="A21" s="7" t="s">
        <v>21</v>
      </c>
      <c r="B21" s="7" t="n">
        <v>118000</v>
      </c>
      <c r="C21" s="7" t="n">
        <v>71000</v>
      </c>
    </row>
    <row r="22" customFormat="false" ht="15" hidden="false" customHeight="true" outlineLevel="0" collapsed="false">
      <c r="A22" s="7" t="s">
        <v>22</v>
      </c>
      <c r="B22" s="7" t="n">
        <v>52500</v>
      </c>
      <c r="C22" s="7" t="n">
        <v>31000</v>
      </c>
    </row>
    <row r="23" customFormat="false" ht="15" hidden="false" customHeight="true" outlineLevel="0" collapsed="false">
      <c r="A23" s="7" t="s">
        <v>23</v>
      </c>
      <c r="B23" s="7" t="n">
        <v>0</v>
      </c>
      <c r="C23" s="7" t="n">
        <v>68500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5"/>
    <col collapsed="false" customWidth="true" hidden="false" outlineLevel="0" max="2" min="2" style="7" width="12"/>
    <col collapsed="false" customWidth="true" hidden="false" outlineLevel="0" max="3" min="3" style="7" width="8"/>
    <col collapsed="false" customWidth="true" hidden="false" outlineLevel="0" max="4" min="4" style="7" width="12"/>
    <col collapsed="false" customWidth="true" hidden="false" outlineLevel="0" max="5" min="5" style="7" width="18"/>
    <col collapsed="false" customWidth="true" hidden="false" outlineLevel="0" max="6" min="6" style="7" width="14"/>
    <col collapsed="false" customWidth="true" hidden="false" outlineLevel="0" max="8" min="7" style="7" width="12"/>
    <col collapsed="false" customWidth="true" hidden="false" outlineLevel="0" max="10" min="9" style="7" width="14"/>
  </cols>
  <sheetData>
    <row r="1" customFormat="false" ht="17.25" hidden="false" customHeight="true" outlineLevel="0" collapsed="false">
      <c r="A1" s="9" t="s">
        <v>24</v>
      </c>
    </row>
    <row r="2" customFormat="false" ht="15" hidden="false" customHeight="true" outlineLevel="0" collapsed="false">
      <c r="A2" s="10" t="s">
        <v>25</v>
      </c>
    </row>
    <row r="3" customFormat="false" ht="15" hidden="false" customHeight="true" outlineLevel="0" collapsed="false">
      <c r="A3" s="10" t="s">
        <v>26</v>
      </c>
    </row>
    <row r="5" customFormat="false" ht="23.25" hidden="false" customHeight="true" outlineLevel="0" collapsed="false">
      <c r="A5" s="11" t="s">
        <v>27</v>
      </c>
      <c r="B5" s="11" t="s">
        <v>28</v>
      </c>
      <c r="C5" s="11" t="s">
        <v>6</v>
      </c>
      <c r="D5" s="11" t="s">
        <v>29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</row>
    <row r="6" customFormat="false" ht="15" hidden="false" customHeight="true" outlineLevel="0" collapsed="false">
      <c r="A6" s="12" t="n">
        <v>1</v>
      </c>
      <c r="B6" s="13" t="n">
        <v>45310</v>
      </c>
      <c r="C6" s="12" t="s">
        <v>8</v>
      </c>
      <c r="D6" s="12" t="s">
        <v>36</v>
      </c>
      <c r="E6" s="14" t="n">
        <v>12000</v>
      </c>
      <c r="F6" s="15" t="n">
        <v>11650.49</v>
      </c>
      <c r="G6" s="15" t="n">
        <v>349.51</v>
      </c>
      <c r="H6" s="16" t="n">
        <v>2.106</v>
      </c>
      <c r="I6" s="15" t="n">
        <v>5532.14</v>
      </c>
      <c r="J6" s="12" t="str">
        <f aca="false">IF(C6="Gold", FLOOR(I6,1000)&amp;"-"&amp;(FLOOR(I6,1000)+1000), FLOOR(I6,20)&amp;"-"&amp;(FLOOR(I6,20)+20))</f>
        <v>5000-6000</v>
      </c>
    </row>
    <row r="7" customFormat="false" ht="15" hidden="false" customHeight="true" outlineLevel="0" collapsed="false">
      <c r="A7" s="12" t="n">
        <v>2</v>
      </c>
      <c r="B7" s="13" t="n">
        <v>45314</v>
      </c>
      <c r="C7" s="12" t="s">
        <v>9</v>
      </c>
      <c r="D7" s="12" t="s">
        <v>37</v>
      </c>
      <c r="E7" s="14" t="n">
        <v>7500</v>
      </c>
      <c r="F7" s="15" t="n">
        <v>7281.55</v>
      </c>
      <c r="G7" s="15" t="n">
        <v>218.45</v>
      </c>
      <c r="H7" s="16" t="n">
        <v>110.3934</v>
      </c>
      <c r="I7" s="15" t="n">
        <v>65.96</v>
      </c>
      <c r="J7" s="12" t="str">
        <f aca="false">IF(C7="Gold", FLOOR(I7,1000)&amp;"-"&amp;(FLOOR(I7,1000)+1000), FLOOR(I7,20)&amp;"-"&amp;(FLOOR(I7,20)+20))</f>
        <v>60-80</v>
      </c>
    </row>
    <row r="8" customFormat="false" ht="15" hidden="false" customHeight="true" outlineLevel="0" collapsed="false">
      <c r="A8" s="12" t="n">
        <v>3</v>
      </c>
      <c r="B8" s="13" t="n">
        <v>45316</v>
      </c>
      <c r="C8" s="12" t="s">
        <v>9</v>
      </c>
      <c r="D8" s="12" t="s">
        <v>36</v>
      </c>
      <c r="E8" s="14" t="n">
        <v>5000</v>
      </c>
      <c r="F8" s="15" t="n">
        <v>4854.37</v>
      </c>
      <c r="G8" s="15" t="n">
        <v>145.63</v>
      </c>
      <c r="H8" s="16" t="n">
        <v>71.8315</v>
      </c>
      <c r="I8" s="15" t="n">
        <v>67.58</v>
      </c>
      <c r="J8" s="12" t="str">
        <f aca="false">IF(C8="Gold", FLOOR(I8,1000)&amp;"-"&amp;(FLOOR(I8,1000)+1000), FLOOR(I8,20)&amp;"-"&amp;(FLOOR(I8,20)+20))</f>
        <v>60-80</v>
      </c>
    </row>
    <row r="9" customFormat="false" ht="15" hidden="false" customHeight="true" outlineLevel="0" collapsed="false">
      <c r="A9" s="12" t="n">
        <v>4</v>
      </c>
      <c r="B9" s="13" t="n">
        <v>45320</v>
      </c>
      <c r="C9" s="12" t="s">
        <v>9</v>
      </c>
      <c r="D9" s="12" t="s">
        <v>37</v>
      </c>
      <c r="E9" s="14" t="n">
        <v>2000</v>
      </c>
      <c r="F9" s="15" t="n">
        <v>1941.75</v>
      </c>
      <c r="G9" s="15" t="n">
        <v>58.25</v>
      </c>
      <c r="H9" s="16" t="n">
        <v>28.7496</v>
      </c>
      <c r="I9" s="15" t="n">
        <v>67.54</v>
      </c>
      <c r="J9" s="12" t="str">
        <f aca="false">IF(C9="Gold", FLOOR(I9,1000)&amp;"-"&amp;(FLOOR(I9,1000)+1000), FLOOR(I9,20)&amp;"-"&amp;(FLOOR(I9,20)+20))</f>
        <v>60-80</v>
      </c>
    </row>
    <row r="10" customFormat="false" ht="15" hidden="false" customHeight="true" outlineLevel="0" collapsed="false">
      <c r="A10" s="12" t="n">
        <v>5</v>
      </c>
      <c r="B10" s="13" t="n">
        <v>45324</v>
      </c>
      <c r="C10" s="12" t="s">
        <v>9</v>
      </c>
      <c r="D10" s="12" t="s">
        <v>37</v>
      </c>
      <c r="E10" s="14" t="n">
        <v>6000</v>
      </c>
      <c r="F10" s="15" t="n">
        <v>5825.24</v>
      </c>
      <c r="G10" s="15" t="n">
        <v>174.76</v>
      </c>
      <c r="H10" s="16" t="n">
        <v>86.1467</v>
      </c>
      <c r="I10" s="15" t="n">
        <v>67.62</v>
      </c>
      <c r="J10" s="12" t="str">
        <f aca="false">IF(C10="Gold", FLOOR(I10,1000)&amp;"-"&amp;(FLOOR(I10,1000)+1000), FLOOR(I10,20)&amp;"-"&amp;(FLOOR(I10,20)+20))</f>
        <v>60-80</v>
      </c>
    </row>
    <row r="11" customFormat="false" ht="15" hidden="false" customHeight="true" outlineLevel="0" collapsed="false">
      <c r="A11" s="12" t="n">
        <v>6</v>
      </c>
      <c r="B11" s="13" t="n">
        <v>45330</v>
      </c>
      <c r="C11" s="12" t="s">
        <v>9</v>
      </c>
      <c r="D11" s="12" t="s">
        <v>36</v>
      </c>
      <c r="E11" s="14" t="n">
        <v>12000</v>
      </c>
      <c r="F11" s="15" t="n">
        <v>11650.49</v>
      </c>
      <c r="G11" s="15" t="n">
        <v>349.51</v>
      </c>
      <c r="H11" s="16" t="n">
        <v>171.7095</v>
      </c>
      <c r="I11" s="15" t="n">
        <v>67.85</v>
      </c>
      <c r="J11" s="12" t="str">
        <f aca="false">IF(C11="Gold", FLOOR(I11,1000)&amp;"-"&amp;(FLOOR(I11,1000)+1000), FLOOR(I11,20)&amp;"-"&amp;(FLOOR(I11,20)+20))</f>
        <v>60-80</v>
      </c>
    </row>
    <row r="12" customFormat="false" ht="15" hidden="false" customHeight="true" outlineLevel="0" collapsed="false">
      <c r="A12" s="12" t="n">
        <v>7</v>
      </c>
      <c r="B12" s="13" t="n">
        <v>45340</v>
      </c>
      <c r="C12" s="12" t="s">
        <v>9</v>
      </c>
      <c r="D12" s="12" t="s">
        <v>37</v>
      </c>
      <c r="E12" s="14" t="n">
        <v>3000</v>
      </c>
      <c r="F12" s="15" t="n">
        <v>2912.62</v>
      </c>
      <c r="G12" s="15" t="n">
        <v>87.38</v>
      </c>
      <c r="H12" s="16" t="n">
        <v>41.4549</v>
      </c>
      <c r="I12" s="15" t="n">
        <v>70.26</v>
      </c>
      <c r="J12" s="12" t="str">
        <f aca="false">IF(C12="Gold", FLOOR(I12,1000)&amp;"-"&amp;(FLOOR(I12,1000)+1000), FLOOR(I12,20)&amp;"-"&amp;(FLOOR(I12,20)+20))</f>
        <v>60-80</v>
      </c>
    </row>
    <row r="13" customFormat="false" ht="15" hidden="false" customHeight="true" outlineLevel="0" collapsed="false">
      <c r="A13" s="12" t="n">
        <v>8</v>
      </c>
      <c r="B13" s="13" t="n">
        <v>45351</v>
      </c>
      <c r="C13" s="12" t="s">
        <v>9</v>
      </c>
      <c r="D13" s="12" t="s">
        <v>38</v>
      </c>
      <c r="E13" s="14" t="n">
        <v>20000</v>
      </c>
      <c r="F13" s="15" t="n">
        <v>19417.48</v>
      </c>
      <c r="G13" s="15" t="n">
        <v>582.52</v>
      </c>
      <c r="H13" s="16" t="n">
        <v>278.7865</v>
      </c>
      <c r="I13" s="15" t="n">
        <v>69.65</v>
      </c>
      <c r="J13" s="12" t="str">
        <f aca="false">IF(C13="Gold", FLOOR(I13,1000)&amp;"-"&amp;(FLOOR(I13,1000)+1000), FLOOR(I13,20)&amp;"-"&amp;(FLOOR(I13,20)+20))</f>
        <v>60-80</v>
      </c>
    </row>
    <row r="14" customFormat="false" ht="15" hidden="false" customHeight="true" outlineLevel="0" collapsed="false">
      <c r="A14" s="12" t="n">
        <v>9</v>
      </c>
      <c r="B14" s="13" t="n">
        <v>45352</v>
      </c>
      <c r="C14" s="12" t="s">
        <v>8</v>
      </c>
      <c r="D14" s="12" t="s">
        <v>38</v>
      </c>
      <c r="E14" s="14" t="n">
        <v>18000</v>
      </c>
      <c r="F14" s="15" t="n">
        <v>17475.73</v>
      </c>
      <c r="G14" s="15" t="n">
        <v>524.27</v>
      </c>
      <c r="H14" s="16" t="n">
        <v>3.0238</v>
      </c>
      <c r="I14" s="15" t="n">
        <v>5779.44</v>
      </c>
      <c r="J14" s="12" t="str">
        <f aca="false">IF(C14="Gold", FLOOR(I14,1000)&amp;"-"&amp;(FLOOR(I14,1000)+1000), FLOOR(I14,20)&amp;"-"&amp;(FLOOR(I14,20)+20))</f>
        <v>5000-6000</v>
      </c>
    </row>
    <row r="15" customFormat="false" ht="15" hidden="false" customHeight="true" outlineLevel="0" collapsed="false">
      <c r="A15" s="12" t="n">
        <v>10</v>
      </c>
      <c r="B15" s="13" t="n">
        <v>45354</v>
      </c>
      <c r="C15" s="12" t="s">
        <v>8</v>
      </c>
      <c r="D15" s="12" t="s">
        <v>37</v>
      </c>
      <c r="E15" s="14" t="n">
        <v>3000</v>
      </c>
      <c r="F15" s="15" t="n">
        <v>2912.62</v>
      </c>
      <c r="G15" s="15" t="n">
        <v>87.38</v>
      </c>
      <c r="H15" s="16" t="n">
        <v>0.5082</v>
      </c>
      <c r="I15" s="15" t="n">
        <v>5731.44</v>
      </c>
      <c r="J15" s="12" t="str">
        <f aca="false">IF(C15="Gold", FLOOR(I15,1000)&amp;"-"&amp;(FLOOR(I15,1000)+1000), FLOOR(I15,20)&amp;"-"&amp;(FLOOR(I15,20)+20))</f>
        <v>5000-6000</v>
      </c>
    </row>
    <row r="16" customFormat="false" ht="15" hidden="false" customHeight="true" outlineLevel="0" collapsed="false">
      <c r="A16" s="12" t="n">
        <v>11</v>
      </c>
      <c r="B16" s="13" t="n">
        <v>45356</v>
      </c>
      <c r="C16" s="12" t="s">
        <v>9</v>
      </c>
      <c r="D16" s="12" t="s">
        <v>37</v>
      </c>
      <c r="E16" s="14" t="n">
        <v>2000</v>
      </c>
      <c r="F16" s="15" t="n">
        <v>1941.75</v>
      </c>
      <c r="G16" s="15" t="n">
        <v>58.25</v>
      </c>
      <c r="H16" s="16" t="n">
        <v>28.2354</v>
      </c>
      <c r="I16" s="15" t="n">
        <v>68.77</v>
      </c>
      <c r="J16" s="12" t="str">
        <f aca="false">IF(C16="Gold", FLOOR(I16,1000)&amp;"-"&amp;(FLOOR(I16,1000)+1000), FLOOR(I16,20)&amp;"-"&amp;(FLOOR(I16,20)+20))</f>
        <v>60-80</v>
      </c>
    </row>
    <row r="17" customFormat="false" ht="15" hidden="false" customHeight="true" outlineLevel="0" collapsed="false">
      <c r="A17" s="12" t="n">
        <v>12</v>
      </c>
      <c r="B17" s="13" t="n">
        <v>45359</v>
      </c>
      <c r="C17" s="12" t="s">
        <v>8</v>
      </c>
      <c r="D17" s="12" t="s">
        <v>36</v>
      </c>
      <c r="E17" s="14" t="n">
        <v>35000</v>
      </c>
      <c r="F17" s="15" t="n">
        <v>33980.58</v>
      </c>
      <c r="G17" s="15" t="n">
        <v>1019.42</v>
      </c>
      <c r="H17" s="16" t="n">
        <v>6.0335</v>
      </c>
      <c r="I17" s="15" t="n">
        <v>5632.03</v>
      </c>
      <c r="J17" s="12" t="str">
        <f aca="false">IF(C17="Gold", FLOOR(I17,1000)&amp;"-"&amp;(FLOOR(I17,1000)+1000), FLOOR(I17,20)&amp;"-"&amp;(FLOOR(I17,20)+20))</f>
        <v>5000-6000</v>
      </c>
    </row>
    <row r="18" customFormat="false" ht="15" hidden="false" customHeight="true" outlineLevel="0" collapsed="false">
      <c r="A18" s="12" t="n">
        <v>13</v>
      </c>
      <c r="B18" s="13" t="n">
        <v>45360</v>
      </c>
      <c r="C18" s="12" t="s">
        <v>9</v>
      </c>
      <c r="D18" s="12" t="s">
        <v>36</v>
      </c>
      <c r="E18" s="14" t="n">
        <v>10000</v>
      </c>
      <c r="F18" s="15" t="n">
        <v>9708.74</v>
      </c>
      <c r="G18" s="15" t="n">
        <v>291.26</v>
      </c>
      <c r="H18" s="16" t="n">
        <v>140.0973</v>
      </c>
      <c r="I18" s="15" t="n">
        <v>69.3</v>
      </c>
      <c r="J18" s="12" t="str">
        <f aca="false">IF(C18="Gold", FLOOR(I18,1000)&amp;"-"&amp;(FLOOR(I18,1000)+1000), FLOOR(I18,20)&amp;"-"&amp;(FLOOR(I18,20)+20))</f>
        <v>60-80</v>
      </c>
    </row>
    <row r="19" customFormat="false" ht="15" hidden="false" customHeight="true" outlineLevel="0" collapsed="false">
      <c r="A19" s="12" t="n">
        <v>14</v>
      </c>
      <c r="B19" s="13" t="n">
        <v>45367</v>
      </c>
      <c r="C19" s="12" t="s">
        <v>9</v>
      </c>
      <c r="D19" s="12" t="s">
        <v>38</v>
      </c>
      <c r="E19" s="14" t="n">
        <v>7500</v>
      </c>
      <c r="F19" s="15" t="n">
        <v>7281.55</v>
      </c>
      <c r="G19" s="15" t="n">
        <v>218.45</v>
      </c>
      <c r="H19" s="16" t="n">
        <v>110.9823</v>
      </c>
      <c r="I19" s="15" t="n">
        <v>65.61</v>
      </c>
      <c r="J19" s="12" t="str">
        <f aca="false">IF(C19="Gold", FLOOR(I19,1000)&amp;"-"&amp;(FLOOR(I19,1000)+1000), FLOOR(I19,20)&amp;"-"&amp;(FLOOR(I19,20)+20))</f>
        <v>60-80</v>
      </c>
    </row>
    <row r="20" customFormat="false" ht="15" hidden="false" customHeight="true" outlineLevel="0" collapsed="false">
      <c r="A20" s="12" t="n">
        <v>15</v>
      </c>
      <c r="B20" s="13" t="n">
        <v>45375</v>
      </c>
      <c r="C20" s="12" t="s">
        <v>9</v>
      </c>
      <c r="D20" s="12" t="s">
        <v>36</v>
      </c>
      <c r="E20" s="14" t="n">
        <v>8000</v>
      </c>
      <c r="F20" s="15" t="n">
        <v>7766.99</v>
      </c>
      <c r="G20" s="15" t="n">
        <v>233.01</v>
      </c>
      <c r="H20" s="16" t="n">
        <v>114.7435</v>
      </c>
      <c r="I20" s="15" t="n">
        <v>67.69</v>
      </c>
      <c r="J20" s="12" t="str">
        <f aca="false">IF(C20="Gold", FLOOR(I20,1000)&amp;"-"&amp;(FLOOR(I20,1000)+1000), FLOOR(I20,20)&amp;"-"&amp;(FLOOR(I20,20)+20))</f>
        <v>60-80</v>
      </c>
    </row>
    <row r="21" customFormat="false" ht="15" hidden="false" customHeight="true" outlineLevel="0" collapsed="false">
      <c r="A21" s="12" t="n">
        <v>16</v>
      </c>
      <c r="B21" s="13" t="n">
        <v>45377</v>
      </c>
      <c r="C21" s="12" t="s">
        <v>9</v>
      </c>
      <c r="D21" s="12" t="s">
        <v>37</v>
      </c>
      <c r="E21" s="14" t="n">
        <v>4000</v>
      </c>
      <c r="F21" s="15" t="n">
        <v>3883.5</v>
      </c>
      <c r="G21" s="15" t="n">
        <v>116.5</v>
      </c>
      <c r="H21" s="16" t="n">
        <v>55.5262</v>
      </c>
      <c r="I21" s="15" t="n">
        <v>69.94</v>
      </c>
      <c r="J21" s="12" t="str">
        <f aca="false">IF(C21="Gold", FLOOR(I21,1000)&amp;"-"&amp;(FLOOR(I21,1000)+1000), FLOOR(I21,20)&amp;"-"&amp;(FLOOR(I21,20)+20))</f>
        <v>60-80</v>
      </c>
    </row>
    <row r="22" customFormat="false" ht="15" hidden="false" customHeight="true" outlineLevel="0" collapsed="false">
      <c r="A22" s="12" t="n">
        <v>17</v>
      </c>
      <c r="B22" s="13" t="n">
        <v>45379</v>
      </c>
      <c r="C22" s="12" t="s">
        <v>8</v>
      </c>
      <c r="D22" s="12" t="s">
        <v>36</v>
      </c>
      <c r="E22" s="14" t="n">
        <v>10000</v>
      </c>
      <c r="F22" s="15" t="n">
        <v>9708.74</v>
      </c>
      <c r="G22" s="15" t="n">
        <v>291.26</v>
      </c>
      <c r="H22" s="16" t="n">
        <v>1.6938</v>
      </c>
      <c r="I22" s="15" t="n">
        <v>5731.87</v>
      </c>
      <c r="J22" s="12" t="str">
        <f aca="false">IF(C22="Gold", FLOOR(I22,1000)&amp;"-"&amp;(FLOOR(I22,1000)+1000), FLOOR(I22,20)&amp;"-"&amp;(FLOOR(I22,20)+20))</f>
        <v>5000-6000</v>
      </c>
    </row>
    <row r="23" customFormat="false" ht="15" hidden="false" customHeight="true" outlineLevel="0" collapsed="false">
      <c r="A23" s="12" t="n">
        <v>18</v>
      </c>
      <c r="B23" s="13" t="n">
        <v>45382</v>
      </c>
      <c r="C23" s="12" t="s">
        <v>9</v>
      </c>
      <c r="D23" s="12" t="s">
        <v>37</v>
      </c>
      <c r="E23" s="14" t="n">
        <v>2000</v>
      </c>
      <c r="F23" s="15" t="n">
        <v>1941.75</v>
      </c>
      <c r="G23" s="15" t="n">
        <v>58.25</v>
      </c>
      <c r="H23" s="16" t="n">
        <v>29.483</v>
      </c>
      <c r="I23" s="15" t="n">
        <v>65.86</v>
      </c>
      <c r="J23" s="12" t="str">
        <f aca="false">IF(C23="Gold", FLOOR(I23,1000)&amp;"-"&amp;(FLOOR(I23,1000)+1000), FLOOR(I23,20)&amp;"-"&amp;(FLOOR(I23,20)+20))</f>
        <v>60-80</v>
      </c>
    </row>
    <row r="24" customFormat="false" ht="15" hidden="false" customHeight="true" outlineLevel="0" collapsed="false">
      <c r="A24" s="12" t="n">
        <v>19</v>
      </c>
      <c r="B24" s="13" t="n">
        <v>45383</v>
      </c>
      <c r="C24" s="12" t="s">
        <v>8</v>
      </c>
      <c r="D24" s="12" t="s">
        <v>36</v>
      </c>
      <c r="E24" s="14" t="n">
        <v>2000</v>
      </c>
      <c r="F24" s="15" t="n">
        <v>1941.75</v>
      </c>
      <c r="G24" s="15" t="n">
        <v>58.25</v>
      </c>
      <c r="H24" s="16" t="n">
        <v>0.3234</v>
      </c>
      <c r="I24" s="15" t="n">
        <v>6004.28</v>
      </c>
      <c r="J24" s="12" t="str">
        <f aca="false">IF(C24="Gold", FLOOR(I24,1000)&amp;"-"&amp;(FLOOR(I24,1000)+1000), FLOOR(I24,20)&amp;"-"&amp;(FLOOR(I24,20)+20))</f>
        <v>6000-7000</v>
      </c>
    </row>
    <row r="25" customFormat="false" ht="15" hidden="false" customHeight="true" outlineLevel="0" collapsed="false">
      <c r="A25" s="12" t="n">
        <v>20</v>
      </c>
      <c r="B25" s="13" t="n">
        <v>45383</v>
      </c>
      <c r="C25" s="12" t="s">
        <v>9</v>
      </c>
      <c r="D25" s="12" t="s">
        <v>36</v>
      </c>
      <c r="E25" s="14" t="n">
        <v>1000</v>
      </c>
      <c r="F25" s="15" t="n">
        <v>970.87</v>
      </c>
      <c r="G25" s="15" t="n">
        <v>29.13</v>
      </c>
      <c r="H25" s="16" t="n">
        <v>14.6569</v>
      </c>
      <c r="I25" s="15" t="n">
        <v>66.24</v>
      </c>
      <c r="J25" s="12" t="str">
        <f aca="false">IF(C25="Gold", FLOOR(I25,1000)&amp;"-"&amp;(FLOOR(I25,1000)+1000), FLOOR(I25,20)&amp;"-"&amp;(FLOOR(I25,20)+20))</f>
        <v>60-80</v>
      </c>
    </row>
    <row r="26" customFormat="false" ht="15" hidden="false" customHeight="true" outlineLevel="0" collapsed="false">
      <c r="A26" s="12" t="n">
        <v>21</v>
      </c>
      <c r="B26" s="13" t="n">
        <v>45384</v>
      </c>
      <c r="C26" s="12" t="s">
        <v>8</v>
      </c>
      <c r="D26" s="12" t="s">
        <v>37</v>
      </c>
      <c r="E26" s="14" t="n">
        <v>1500</v>
      </c>
      <c r="F26" s="15" t="n">
        <v>1456.31</v>
      </c>
      <c r="G26" s="15" t="n">
        <v>43.69</v>
      </c>
      <c r="H26" s="16" t="n">
        <v>0.2483</v>
      </c>
      <c r="I26" s="15" t="n">
        <v>5865.03</v>
      </c>
      <c r="J26" s="12" t="str">
        <f aca="false">IF(C26="Gold", FLOOR(I26,1000)&amp;"-"&amp;(FLOOR(I26,1000)+1000), FLOOR(I26,20)&amp;"-"&amp;(FLOOR(I26,20)+20))</f>
        <v>5000-6000</v>
      </c>
    </row>
    <row r="27" customFormat="false" ht="15" hidden="false" customHeight="true" outlineLevel="0" collapsed="false">
      <c r="A27" s="12" t="n">
        <v>22</v>
      </c>
      <c r="B27" s="13" t="n">
        <v>45391</v>
      </c>
      <c r="C27" s="12" t="s">
        <v>9</v>
      </c>
      <c r="D27" s="12" t="s">
        <v>38</v>
      </c>
      <c r="E27" s="14" t="n">
        <v>6000</v>
      </c>
      <c r="F27" s="15" t="n">
        <v>5825.24</v>
      </c>
      <c r="G27" s="15" t="n">
        <v>174.76</v>
      </c>
      <c r="H27" s="16" t="n">
        <v>87.5581</v>
      </c>
      <c r="I27" s="15" t="n">
        <v>66.53</v>
      </c>
      <c r="J27" s="12" t="str">
        <f aca="false">IF(C27="Gold", FLOOR(I27,1000)&amp;"-"&amp;(FLOOR(I27,1000)+1000), FLOOR(I27,20)&amp;"-"&amp;(FLOOR(I27,20)+20))</f>
        <v>60-80</v>
      </c>
    </row>
    <row r="28" customFormat="false" ht="15" hidden="false" customHeight="true" outlineLevel="0" collapsed="false">
      <c r="A28" s="12" t="n">
        <v>23</v>
      </c>
      <c r="B28" s="13" t="n">
        <v>45399</v>
      </c>
      <c r="C28" s="12" t="s">
        <v>9</v>
      </c>
      <c r="D28" s="12" t="s">
        <v>37</v>
      </c>
      <c r="E28" s="14" t="n">
        <v>10000</v>
      </c>
      <c r="F28" s="15" t="n">
        <v>9708.74</v>
      </c>
      <c r="G28" s="15" t="n">
        <v>291.26</v>
      </c>
      <c r="H28" s="16" t="n">
        <v>133.8029</v>
      </c>
      <c r="I28" s="15" t="n">
        <v>72.56</v>
      </c>
      <c r="J28" s="12" t="str">
        <f aca="false">IF(C28="Gold", FLOOR(I28,1000)&amp;"-"&amp;(FLOOR(I28,1000)+1000), FLOOR(I28,20)&amp;"-"&amp;(FLOOR(I28,20)+20))</f>
        <v>60-80</v>
      </c>
    </row>
    <row r="29" customFormat="false" ht="15" hidden="false" customHeight="true" outlineLevel="0" collapsed="false">
      <c r="A29" s="12" t="n">
        <v>24</v>
      </c>
      <c r="B29" s="13" t="n">
        <v>45410</v>
      </c>
      <c r="C29" s="12" t="s">
        <v>8</v>
      </c>
      <c r="D29" s="12" t="s">
        <v>38</v>
      </c>
      <c r="E29" s="14" t="n">
        <v>4000</v>
      </c>
      <c r="F29" s="15" t="n">
        <v>3883.5</v>
      </c>
      <c r="G29" s="15" t="n">
        <v>116.5</v>
      </c>
      <c r="H29" s="16" t="n">
        <v>0.665</v>
      </c>
      <c r="I29" s="15" t="n">
        <v>5839.62</v>
      </c>
      <c r="J29" s="12" t="str">
        <f aca="false">IF(C29="Gold", FLOOR(I29,1000)&amp;"-"&amp;(FLOOR(I29,1000)+1000), FLOOR(I29,20)&amp;"-"&amp;(FLOOR(I29,20)+20))</f>
        <v>5000-6000</v>
      </c>
    </row>
    <row r="30" customFormat="false" ht="15" hidden="false" customHeight="true" outlineLevel="0" collapsed="false">
      <c r="A30" s="12" t="n">
        <v>25</v>
      </c>
      <c r="B30" s="13" t="n">
        <v>45411</v>
      </c>
      <c r="C30" s="12" t="s">
        <v>9</v>
      </c>
      <c r="D30" s="12" t="s">
        <v>37</v>
      </c>
      <c r="E30" s="14" t="n">
        <v>15000</v>
      </c>
      <c r="F30" s="15" t="n">
        <v>14563.11</v>
      </c>
      <c r="G30" s="15" t="n">
        <v>436.89</v>
      </c>
      <c r="H30" s="16" t="n">
        <v>215.4944</v>
      </c>
      <c r="I30" s="15" t="n">
        <v>67.58</v>
      </c>
      <c r="J30" s="12" t="str">
        <f aca="false">IF(C30="Gold", FLOOR(I30,1000)&amp;"-"&amp;(FLOOR(I30,1000)+1000), FLOOR(I30,20)&amp;"-"&amp;(FLOOR(I30,20)+20))</f>
        <v>60-80</v>
      </c>
    </row>
    <row r="31" customFormat="false" ht="15" hidden="false" customHeight="true" outlineLevel="0" collapsed="false">
      <c r="A31" s="12" t="n">
        <v>26</v>
      </c>
      <c r="B31" s="13" t="n">
        <v>45424</v>
      </c>
      <c r="C31" s="12" t="s">
        <v>8</v>
      </c>
      <c r="D31" s="12" t="s">
        <v>38</v>
      </c>
      <c r="E31" s="14" t="n">
        <v>25000</v>
      </c>
      <c r="F31" s="15" t="n">
        <v>24271.84</v>
      </c>
      <c r="G31" s="15" t="n">
        <v>728.16</v>
      </c>
      <c r="H31" s="16" t="n">
        <v>3.9905</v>
      </c>
      <c r="I31" s="15" t="n">
        <v>6082.38</v>
      </c>
      <c r="J31" s="12" t="str">
        <f aca="false">IF(C31="Gold", FLOOR(I31,1000)&amp;"-"&amp;(FLOOR(I31,1000)+1000), FLOOR(I31,20)&amp;"-"&amp;(FLOOR(I31,20)+20))</f>
        <v>6000-7000</v>
      </c>
    </row>
    <row r="32" customFormat="false" ht="15" hidden="false" customHeight="true" outlineLevel="0" collapsed="false">
      <c r="A32" s="12" t="n">
        <v>27</v>
      </c>
      <c r="B32" s="13" t="n">
        <v>45427</v>
      </c>
      <c r="C32" s="12" t="s">
        <v>9</v>
      </c>
      <c r="D32" s="12" t="s">
        <v>36</v>
      </c>
      <c r="E32" s="14" t="n">
        <v>7500</v>
      </c>
      <c r="F32" s="15" t="n">
        <v>7281.55</v>
      </c>
      <c r="G32" s="15" t="n">
        <v>218.45</v>
      </c>
      <c r="H32" s="16" t="n">
        <v>100.1589</v>
      </c>
      <c r="I32" s="15" t="n">
        <v>72.7</v>
      </c>
      <c r="J32" s="12" t="str">
        <f aca="false">IF(C32="Gold", FLOOR(I32,1000)&amp;"-"&amp;(FLOOR(I32,1000)+1000), FLOOR(I32,20)&amp;"-"&amp;(FLOOR(I32,20)+20))</f>
        <v>60-80</v>
      </c>
    </row>
    <row r="33" customFormat="false" ht="15" hidden="false" customHeight="true" outlineLevel="0" collapsed="false">
      <c r="A33" s="12" t="n">
        <v>28</v>
      </c>
      <c r="B33" s="13" t="n">
        <v>45439</v>
      </c>
      <c r="C33" s="12" t="s">
        <v>8</v>
      </c>
      <c r="D33" s="12" t="s">
        <v>37</v>
      </c>
      <c r="E33" s="14" t="n">
        <v>5000</v>
      </c>
      <c r="F33" s="15" t="n">
        <v>4854.37</v>
      </c>
      <c r="G33" s="15" t="n">
        <v>145.63</v>
      </c>
      <c r="H33" s="16" t="n">
        <v>0.7846</v>
      </c>
      <c r="I33" s="15" t="n">
        <v>6186.68</v>
      </c>
      <c r="J33" s="12" t="str">
        <f aca="false">IF(C33="Gold", FLOOR(I33,1000)&amp;"-"&amp;(FLOOR(I33,1000)+1000), FLOOR(I33,20)&amp;"-"&amp;(FLOOR(I33,20)+20))</f>
        <v>6000-7000</v>
      </c>
    </row>
    <row r="34" customFormat="false" ht="15" hidden="false" customHeight="true" outlineLevel="0" collapsed="false">
      <c r="A34" s="12" t="n">
        <v>29</v>
      </c>
      <c r="B34" s="13" t="n">
        <v>45448</v>
      </c>
      <c r="C34" s="12" t="s">
        <v>8</v>
      </c>
      <c r="D34" s="12" t="s">
        <v>38</v>
      </c>
      <c r="E34" s="14" t="n">
        <v>3000</v>
      </c>
      <c r="F34" s="15" t="n">
        <v>2912.62</v>
      </c>
      <c r="G34" s="15" t="n">
        <v>87.38</v>
      </c>
      <c r="H34" s="16" t="n">
        <v>0.4829</v>
      </c>
      <c r="I34" s="15" t="n">
        <v>6032.09</v>
      </c>
      <c r="J34" s="12" t="str">
        <f aca="false">IF(C34="Gold", FLOOR(I34,1000)&amp;"-"&amp;(FLOOR(I34,1000)+1000), FLOOR(I34,20)&amp;"-"&amp;(FLOOR(I34,20)+20))</f>
        <v>6000-7000</v>
      </c>
    </row>
    <row r="35" customFormat="false" ht="15" hidden="false" customHeight="true" outlineLevel="0" collapsed="false">
      <c r="A35" s="12" t="n">
        <v>30</v>
      </c>
      <c r="B35" s="13" t="n">
        <v>45450</v>
      </c>
      <c r="C35" s="12" t="s">
        <v>8</v>
      </c>
      <c r="D35" s="12" t="s">
        <v>38</v>
      </c>
      <c r="E35" s="14" t="n">
        <v>2000</v>
      </c>
      <c r="F35" s="15" t="n">
        <v>1941.75</v>
      </c>
      <c r="G35" s="15" t="n">
        <v>58.25</v>
      </c>
      <c r="H35" s="16" t="n">
        <v>0.3231</v>
      </c>
      <c r="I35" s="15" t="n">
        <v>6009.74</v>
      </c>
      <c r="J35" s="12" t="str">
        <f aca="false">IF(C35="Gold", FLOOR(I35,1000)&amp;"-"&amp;(FLOOR(I35,1000)+1000), FLOOR(I35,20)&amp;"-"&amp;(FLOOR(I35,20)+20))</f>
        <v>6000-7000</v>
      </c>
    </row>
    <row r="36" customFormat="false" ht="15" hidden="false" customHeight="true" outlineLevel="0" collapsed="false">
      <c r="A36" s="12" t="n">
        <v>31</v>
      </c>
      <c r="B36" s="13" t="n">
        <v>45451</v>
      </c>
      <c r="C36" s="12" t="s">
        <v>9</v>
      </c>
      <c r="D36" s="12" t="s">
        <v>36</v>
      </c>
      <c r="E36" s="14" t="n">
        <v>1000</v>
      </c>
      <c r="F36" s="15" t="n">
        <v>970.87</v>
      </c>
      <c r="G36" s="15" t="n">
        <v>29.13</v>
      </c>
      <c r="H36" s="16" t="n">
        <v>13.0423</v>
      </c>
      <c r="I36" s="15" t="n">
        <v>74.44</v>
      </c>
      <c r="J36" s="12" t="str">
        <f aca="false">IF(C36="Gold", FLOOR(I36,1000)&amp;"-"&amp;(FLOOR(I36,1000)+1000), FLOOR(I36,20)&amp;"-"&amp;(FLOOR(I36,20)+20))</f>
        <v>60-80</v>
      </c>
    </row>
    <row r="37" customFormat="false" ht="15" hidden="false" customHeight="true" outlineLevel="0" collapsed="false">
      <c r="A37" s="12" t="n">
        <v>32</v>
      </c>
      <c r="B37" s="13" t="n">
        <v>45457</v>
      </c>
      <c r="C37" s="12" t="s">
        <v>8</v>
      </c>
      <c r="D37" s="12" t="s">
        <v>36</v>
      </c>
      <c r="E37" s="14" t="n">
        <v>1000</v>
      </c>
      <c r="F37" s="15" t="n">
        <v>970.87</v>
      </c>
      <c r="G37" s="15" t="n">
        <v>29.13</v>
      </c>
      <c r="H37" s="16" t="n">
        <v>0.154</v>
      </c>
      <c r="I37" s="15" t="n">
        <v>6305.06</v>
      </c>
      <c r="J37" s="12" t="str">
        <f aca="false">IF(C37="Gold", FLOOR(I37,1000)&amp;"-"&amp;(FLOOR(I37,1000)+1000), FLOOR(I37,20)&amp;"-"&amp;(FLOOR(I37,20)+20))</f>
        <v>6000-7000</v>
      </c>
    </row>
    <row r="38" customFormat="false" ht="15" hidden="false" customHeight="true" outlineLevel="0" collapsed="false">
      <c r="A38" s="12" t="n">
        <v>33</v>
      </c>
      <c r="B38" s="13" t="n">
        <v>45483</v>
      </c>
      <c r="C38" s="12" t="s">
        <v>8</v>
      </c>
      <c r="D38" s="12" t="s">
        <v>36</v>
      </c>
      <c r="E38" s="14" t="n">
        <v>5000</v>
      </c>
      <c r="F38" s="15" t="n">
        <v>4854.37</v>
      </c>
      <c r="G38" s="15" t="n">
        <v>145.63</v>
      </c>
      <c r="H38" s="16" t="n">
        <v>0.7887</v>
      </c>
      <c r="I38" s="15" t="n">
        <v>6154.9</v>
      </c>
      <c r="J38" s="12" t="str">
        <f aca="false">IF(C38="Gold", FLOOR(I38,1000)&amp;"-"&amp;(FLOOR(I38,1000)+1000), FLOOR(I38,20)&amp;"-"&amp;(FLOOR(I38,20)+20))</f>
        <v>6000-7000</v>
      </c>
    </row>
    <row r="39" customFormat="false" ht="15" hidden="false" customHeight="true" outlineLevel="0" collapsed="false">
      <c r="A39" s="12" t="n">
        <v>34</v>
      </c>
      <c r="B39" s="13" t="n">
        <v>45484</v>
      </c>
      <c r="C39" s="12" t="s">
        <v>8</v>
      </c>
      <c r="D39" s="12" t="s">
        <v>36</v>
      </c>
      <c r="E39" s="14" t="n">
        <v>20000</v>
      </c>
      <c r="F39" s="15" t="n">
        <v>19417.48</v>
      </c>
      <c r="G39" s="15" t="n">
        <v>582.52</v>
      </c>
      <c r="H39" s="16" t="n">
        <v>3.0681</v>
      </c>
      <c r="I39" s="15" t="n">
        <v>6328.73</v>
      </c>
      <c r="J39" s="12" t="str">
        <f aca="false">IF(C39="Gold", FLOOR(I39,1000)&amp;"-"&amp;(FLOOR(I39,1000)+1000), FLOOR(I39,20)&amp;"-"&amp;(FLOOR(I39,20)+20))</f>
        <v>6000-7000</v>
      </c>
    </row>
    <row r="40" customFormat="false" ht="15" hidden="false" customHeight="true" outlineLevel="0" collapsed="false">
      <c r="A40" s="12" t="n">
        <v>35</v>
      </c>
      <c r="B40" s="13" t="n">
        <v>45498</v>
      </c>
      <c r="C40" s="12" t="s">
        <v>8</v>
      </c>
      <c r="D40" s="12" t="s">
        <v>38</v>
      </c>
      <c r="E40" s="14" t="n">
        <v>4000</v>
      </c>
      <c r="F40" s="15" t="n">
        <v>3883.5</v>
      </c>
      <c r="G40" s="15" t="n">
        <v>116.5</v>
      </c>
      <c r="H40" s="16" t="n">
        <v>0.6332</v>
      </c>
      <c r="I40" s="15" t="n">
        <v>6133.37</v>
      </c>
      <c r="J40" s="12" t="str">
        <f aca="false">IF(C40="Gold", FLOOR(I40,1000)&amp;"-"&amp;(FLOOR(I40,1000)+1000), FLOOR(I40,20)&amp;"-"&amp;(FLOOR(I40,20)+20))</f>
        <v>6000-7000</v>
      </c>
    </row>
    <row r="41" customFormat="false" ht="15" hidden="false" customHeight="true" outlineLevel="0" collapsed="false">
      <c r="A41" s="12" t="n">
        <v>36</v>
      </c>
      <c r="B41" s="13" t="n">
        <v>45499</v>
      </c>
      <c r="C41" s="12" t="s">
        <v>8</v>
      </c>
      <c r="D41" s="12" t="s">
        <v>36</v>
      </c>
      <c r="E41" s="14" t="n">
        <v>2000</v>
      </c>
      <c r="F41" s="15" t="n">
        <v>1941.75</v>
      </c>
      <c r="G41" s="15" t="n">
        <v>58.25</v>
      </c>
      <c r="H41" s="16" t="n">
        <v>0.3054</v>
      </c>
      <c r="I41" s="15" t="n">
        <v>6358.03</v>
      </c>
      <c r="J41" s="12" t="str">
        <f aca="false">IF(C41="Gold", FLOOR(I41,1000)&amp;"-"&amp;(FLOOR(I41,1000)+1000), FLOOR(I41,20)&amp;"-"&amp;(FLOOR(I41,20)+20))</f>
        <v>6000-7000</v>
      </c>
    </row>
    <row r="42" customFormat="false" ht="15" hidden="false" customHeight="true" outlineLevel="0" collapsed="false">
      <c r="A42" s="12" t="n">
        <v>37</v>
      </c>
      <c r="B42" s="13" t="n">
        <v>45505</v>
      </c>
      <c r="C42" s="12" t="s">
        <v>9</v>
      </c>
      <c r="D42" s="12" t="s">
        <v>38</v>
      </c>
      <c r="E42" s="14" t="n">
        <v>35000</v>
      </c>
      <c r="F42" s="15" t="n">
        <v>33980.58</v>
      </c>
      <c r="G42" s="15" t="n">
        <v>1019.42</v>
      </c>
      <c r="H42" s="16" t="n">
        <v>438.007</v>
      </c>
      <c r="I42" s="15" t="n">
        <v>77.58</v>
      </c>
      <c r="J42" s="12" t="str">
        <f aca="false">IF(C42="Gold", FLOOR(I42,1000)&amp;"-"&amp;(FLOOR(I42,1000)+1000), FLOOR(I42,20)&amp;"-"&amp;(FLOOR(I42,20)+20))</f>
        <v>60-80</v>
      </c>
    </row>
    <row r="43" customFormat="false" ht="15" hidden="false" customHeight="true" outlineLevel="0" collapsed="false">
      <c r="A43" s="12" t="n">
        <v>38</v>
      </c>
      <c r="B43" s="13" t="n">
        <v>45511</v>
      </c>
      <c r="C43" s="12" t="s">
        <v>8</v>
      </c>
      <c r="D43" s="12" t="s">
        <v>37</v>
      </c>
      <c r="E43" s="14" t="n">
        <v>4000</v>
      </c>
      <c r="F43" s="15" t="n">
        <v>3883.5</v>
      </c>
      <c r="G43" s="15" t="n">
        <v>116.5</v>
      </c>
      <c r="H43" s="16" t="n">
        <v>0.6118</v>
      </c>
      <c r="I43" s="15" t="n">
        <v>6347.37</v>
      </c>
      <c r="J43" s="12" t="str">
        <f aca="false">IF(C43="Gold", FLOOR(I43,1000)&amp;"-"&amp;(FLOOR(I43,1000)+1000), FLOOR(I43,20)&amp;"-"&amp;(FLOOR(I43,20)+20))</f>
        <v>6000-7000</v>
      </c>
    </row>
    <row r="44" customFormat="false" ht="15" hidden="false" customHeight="true" outlineLevel="0" collapsed="false">
      <c r="A44" s="12" t="n">
        <v>39</v>
      </c>
      <c r="B44" s="13" t="n">
        <v>45512</v>
      </c>
      <c r="C44" s="12" t="s">
        <v>8</v>
      </c>
      <c r="D44" s="12" t="s">
        <v>38</v>
      </c>
      <c r="E44" s="14" t="n">
        <v>2500</v>
      </c>
      <c r="F44" s="15" t="n">
        <v>2427.18</v>
      </c>
      <c r="G44" s="15" t="n">
        <v>72.82</v>
      </c>
      <c r="H44" s="16" t="n">
        <v>0.3882</v>
      </c>
      <c r="I44" s="15" t="n">
        <v>6253.14</v>
      </c>
      <c r="J44" s="12" t="str">
        <f aca="false">IF(C44="Gold", FLOOR(I44,1000)&amp;"-"&amp;(FLOOR(I44,1000)+1000), FLOOR(I44,20)&amp;"-"&amp;(FLOOR(I44,20)+20))</f>
        <v>6000-7000</v>
      </c>
    </row>
    <row r="45" customFormat="false" ht="15" hidden="false" customHeight="true" outlineLevel="0" collapsed="false">
      <c r="A45" s="12" t="n">
        <v>40</v>
      </c>
      <c r="B45" s="13" t="n">
        <v>45513</v>
      </c>
      <c r="C45" s="12" t="s">
        <v>9</v>
      </c>
      <c r="D45" s="12" t="s">
        <v>37</v>
      </c>
      <c r="E45" s="14" t="n">
        <v>15000</v>
      </c>
      <c r="F45" s="15" t="n">
        <v>14563.11</v>
      </c>
      <c r="G45" s="15" t="n">
        <v>436.89</v>
      </c>
      <c r="H45" s="16" t="n">
        <v>184.9989</v>
      </c>
      <c r="I45" s="15" t="n">
        <v>78.72</v>
      </c>
      <c r="J45" s="12" t="str">
        <f aca="false">IF(C45="Gold", FLOOR(I45,1000)&amp;"-"&amp;(FLOOR(I45,1000)+1000), FLOOR(I45,20)&amp;"-"&amp;(FLOOR(I45,20)+20))</f>
        <v>60-80</v>
      </c>
    </row>
    <row r="46" customFormat="false" ht="15" hidden="false" customHeight="true" outlineLevel="0" collapsed="false">
      <c r="A46" s="12" t="n">
        <v>41</v>
      </c>
      <c r="B46" s="13" t="n">
        <v>45516</v>
      </c>
      <c r="C46" s="12" t="s">
        <v>9</v>
      </c>
      <c r="D46" s="12" t="s">
        <v>38</v>
      </c>
      <c r="E46" s="14" t="n">
        <v>4000</v>
      </c>
      <c r="F46" s="15" t="n">
        <v>3883.5</v>
      </c>
      <c r="G46" s="15" t="n">
        <v>116.5</v>
      </c>
      <c r="H46" s="16" t="n">
        <v>50.2523</v>
      </c>
      <c r="I46" s="15" t="n">
        <v>77.28</v>
      </c>
      <c r="J46" s="12" t="str">
        <f aca="false">IF(C46="Gold", FLOOR(I46,1000)&amp;"-"&amp;(FLOOR(I46,1000)+1000), FLOOR(I46,20)&amp;"-"&amp;(FLOOR(I46,20)+20))</f>
        <v>60-80</v>
      </c>
    </row>
    <row r="47" customFormat="false" ht="15" hidden="false" customHeight="true" outlineLevel="0" collapsed="false">
      <c r="A47" s="12" t="n">
        <v>42</v>
      </c>
      <c r="B47" s="13" t="n">
        <v>45520</v>
      </c>
      <c r="C47" s="12" t="s">
        <v>9</v>
      </c>
      <c r="D47" s="12" t="s">
        <v>36</v>
      </c>
      <c r="E47" s="14" t="n">
        <v>1500</v>
      </c>
      <c r="F47" s="15" t="n">
        <v>1456.31</v>
      </c>
      <c r="G47" s="15" t="n">
        <v>43.69</v>
      </c>
      <c r="H47" s="16" t="n">
        <v>19.8977</v>
      </c>
      <c r="I47" s="15" t="n">
        <v>73.19</v>
      </c>
      <c r="J47" s="12" t="str">
        <f aca="false">IF(C47="Gold", FLOOR(I47,1000)&amp;"-"&amp;(FLOOR(I47,1000)+1000), FLOOR(I47,20)&amp;"-"&amp;(FLOOR(I47,20)+20))</f>
        <v>60-80</v>
      </c>
    </row>
    <row r="48" customFormat="false" ht="15" hidden="false" customHeight="true" outlineLevel="0" collapsed="false">
      <c r="A48" s="12" t="n">
        <v>43</v>
      </c>
      <c r="B48" s="13" t="n">
        <v>45522</v>
      </c>
      <c r="C48" s="12" t="s">
        <v>8</v>
      </c>
      <c r="D48" s="12" t="s">
        <v>36</v>
      </c>
      <c r="E48" s="14" t="n">
        <v>20000</v>
      </c>
      <c r="F48" s="15" t="n">
        <v>19417.48</v>
      </c>
      <c r="G48" s="15" t="n">
        <v>582.52</v>
      </c>
      <c r="H48" s="16" t="n">
        <v>3.0528</v>
      </c>
      <c r="I48" s="15" t="n">
        <v>6360.46</v>
      </c>
      <c r="J48" s="12" t="str">
        <f aca="false">IF(C48="Gold", FLOOR(I48,1000)&amp;"-"&amp;(FLOOR(I48,1000)+1000), FLOOR(I48,20)&amp;"-"&amp;(FLOOR(I48,20)+20))</f>
        <v>6000-7000</v>
      </c>
    </row>
    <row r="49" customFormat="false" ht="15" hidden="false" customHeight="true" outlineLevel="0" collapsed="false">
      <c r="A49" s="12" t="n">
        <v>44</v>
      </c>
      <c r="B49" s="13" t="n">
        <v>45522</v>
      </c>
      <c r="C49" s="12" t="s">
        <v>8</v>
      </c>
      <c r="D49" s="12" t="s">
        <v>37</v>
      </c>
      <c r="E49" s="14" t="n">
        <v>20000</v>
      </c>
      <c r="F49" s="15" t="n">
        <v>19417.48</v>
      </c>
      <c r="G49" s="15" t="n">
        <v>582.52</v>
      </c>
      <c r="H49" s="16" t="n">
        <v>2.9578</v>
      </c>
      <c r="I49" s="15" t="n">
        <v>6564.78</v>
      </c>
      <c r="J49" s="12" t="str">
        <f aca="false">IF(C49="Gold", FLOOR(I49,1000)&amp;"-"&amp;(FLOOR(I49,1000)+1000), FLOOR(I49,20)&amp;"-"&amp;(FLOOR(I49,20)+20))</f>
        <v>6000-7000</v>
      </c>
    </row>
    <row r="50" customFormat="false" ht="15" hidden="false" customHeight="true" outlineLevel="0" collapsed="false">
      <c r="A50" s="12" t="n">
        <v>45</v>
      </c>
      <c r="B50" s="13" t="n">
        <v>45528</v>
      </c>
      <c r="C50" s="12" t="s">
        <v>8</v>
      </c>
      <c r="D50" s="12" t="s">
        <v>38</v>
      </c>
      <c r="E50" s="14" t="n">
        <v>7500</v>
      </c>
      <c r="F50" s="15" t="n">
        <v>7281.55</v>
      </c>
      <c r="G50" s="15" t="n">
        <v>218.45</v>
      </c>
      <c r="H50" s="16" t="n">
        <v>1.1681</v>
      </c>
      <c r="I50" s="15" t="n">
        <v>6233.84</v>
      </c>
      <c r="J50" s="12" t="str">
        <f aca="false">IF(C50="Gold", FLOOR(I50,1000)&amp;"-"&amp;(FLOOR(I50,1000)+1000), FLOOR(I50,20)&amp;"-"&amp;(FLOOR(I50,20)+20))</f>
        <v>6000-7000</v>
      </c>
    </row>
    <row r="51" customFormat="false" ht="15" hidden="false" customHeight="true" outlineLevel="0" collapsed="false">
      <c r="A51" s="12" t="n">
        <v>46</v>
      </c>
      <c r="B51" s="13" t="n">
        <v>45536</v>
      </c>
      <c r="C51" s="12" t="s">
        <v>9</v>
      </c>
      <c r="D51" s="12" t="s">
        <v>36</v>
      </c>
      <c r="E51" s="14" t="n">
        <v>1000</v>
      </c>
      <c r="F51" s="15" t="n">
        <v>970.87</v>
      </c>
      <c r="G51" s="15" t="n">
        <v>29.13</v>
      </c>
      <c r="H51" s="16" t="n">
        <v>12.4343</v>
      </c>
      <c r="I51" s="15" t="n">
        <v>78.08</v>
      </c>
      <c r="J51" s="12" t="str">
        <f aca="false">IF(C51="Gold", FLOOR(I51,1000)&amp;"-"&amp;(FLOOR(I51,1000)+1000), FLOOR(I51,20)&amp;"-"&amp;(FLOOR(I51,20)+20))</f>
        <v>60-80</v>
      </c>
    </row>
    <row r="52" customFormat="false" ht="15" hidden="false" customHeight="true" outlineLevel="0" collapsed="false">
      <c r="A52" s="12" t="n">
        <v>47</v>
      </c>
      <c r="B52" s="13" t="n">
        <v>45540</v>
      </c>
      <c r="C52" s="12" t="s">
        <v>8</v>
      </c>
      <c r="D52" s="12" t="s">
        <v>36</v>
      </c>
      <c r="E52" s="14" t="n">
        <v>8000</v>
      </c>
      <c r="F52" s="15" t="n">
        <v>7766.99</v>
      </c>
      <c r="G52" s="15" t="n">
        <v>233.01</v>
      </c>
      <c r="H52" s="16" t="n">
        <v>1.2299</v>
      </c>
      <c r="I52" s="15" t="n">
        <v>6315.03</v>
      </c>
      <c r="J52" s="12" t="str">
        <f aca="false">IF(C52="Gold", FLOOR(I52,1000)&amp;"-"&amp;(FLOOR(I52,1000)+1000), FLOOR(I52,20)&amp;"-"&amp;(FLOOR(I52,20)+20))</f>
        <v>6000-7000</v>
      </c>
    </row>
    <row r="53" customFormat="false" ht="15" hidden="false" customHeight="true" outlineLevel="0" collapsed="false">
      <c r="A53" s="12" t="n">
        <v>48</v>
      </c>
      <c r="B53" s="13" t="n">
        <v>45547</v>
      </c>
      <c r="C53" s="12" t="s">
        <v>9</v>
      </c>
      <c r="D53" s="12" t="s">
        <v>38</v>
      </c>
      <c r="E53" s="14" t="n">
        <v>1500</v>
      </c>
      <c r="F53" s="15" t="n">
        <v>1456.31</v>
      </c>
      <c r="G53" s="15" t="n">
        <v>43.69</v>
      </c>
      <c r="H53" s="16" t="n">
        <v>19.0318</v>
      </c>
      <c r="I53" s="15" t="n">
        <v>76.52</v>
      </c>
      <c r="J53" s="12" t="str">
        <f aca="false">IF(C53="Gold", FLOOR(I53,1000)&amp;"-"&amp;(FLOOR(I53,1000)+1000), FLOOR(I53,20)&amp;"-"&amp;(FLOOR(I53,20)+20))</f>
        <v>60-80</v>
      </c>
    </row>
    <row r="54" customFormat="false" ht="15" hidden="false" customHeight="true" outlineLevel="0" collapsed="false">
      <c r="A54" s="12" t="n">
        <v>49</v>
      </c>
      <c r="B54" s="13" t="n">
        <v>45550</v>
      </c>
      <c r="C54" s="12" t="s">
        <v>9</v>
      </c>
      <c r="D54" s="12" t="s">
        <v>37</v>
      </c>
      <c r="E54" s="14" t="n">
        <v>12000</v>
      </c>
      <c r="F54" s="15" t="n">
        <v>11650.49</v>
      </c>
      <c r="G54" s="15" t="n">
        <v>349.51</v>
      </c>
      <c r="H54" s="16" t="n">
        <v>157.5242</v>
      </c>
      <c r="I54" s="15" t="n">
        <v>73.96</v>
      </c>
      <c r="J54" s="12" t="str">
        <f aca="false">IF(C54="Gold", FLOOR(I54,1000)&amp;"-"&amp;(FLOOR(I54,1000)+1000), FLOOR(I54,20)&amp;"-"&amp;(FLOOR(I54,20)+20))</f>
        <v>60-80</v>
      </c>
    </row>
    <row r="55" customFormat="false" ht="15" hidden="false" customHeight="true" outlineLevel="0" collapsed="false">
      <c r="A55" s="12" t="n">
        <v>50</v>
      </c>
      <c r="B55" s="13" t="n">
        <v>45557</v>
      </c>
      <c r="C55" s="12" t="s">
        <v>9</v>
      </c>
      <c r="D55" s="12" t="s">
        <v>36</v>
      </c>
      <c r="E55" s="14" t="n">
        <v>35000</v>
      </c>
      <c r="F55" s="15" t="n">
        <v>33980.58</v>
      </c>
      <c r="G55" s="15" t="n">
        <v>1019.42</v>
      </c>
      <c r="H55" s="16" t="n">
        <v>442.5131</v>
      </c>
      <c r="I55" s="15" t="n">
        <v>76.79</v>
      </c>
      <c r="J55" s="12" t="str">
        <f aca="false">IF(C55="Gold", FLOOR(I55,1000)&amp;"-"&amp;(FLOOR(I55,1000)+1000), FLOOR(I55,20)&amp;"-"&amp;(FLOOR(I55,20)+20))</f>
        <v>60-80</v>
      </c>
    </row>
    <row r="56" customFormat="false" ht="15" hidden="false" customHeight="true" outlineLevel="0" collapsed="false">
      <c r="A56" s="12" t="n">
        <v>51</v>
      </c>
      <c r="B56" s="13" t="n">
        <v>45563</v>
      </c>
      <c r="C56" s="12" t="s">
        <v>8</v>
      </c>
      <c r="D56" s="12" t="s">
        <v>37</v>
      </c>
      <c r="E56" s="14" t="n">
        <v>8000</v>
      </c>
      <c r="F56" s="15" t="n">
        <v>7766.99</v>
      </c>
      <c r="G56" s="15" t="n">
        <v>233.01</v>
      </c>
      <c r="H56" s="16" t="n">
        <v>1.1826</v>
      </c>
      <c r="I56" s="15" t="n">
        <v>6567.93</v>
      </c>
      <c r="J56" s="12" t="str">
        <f aca="false">IF(C56="Gold", FLOOR(I56,1000)&amp;"-"&amp;(FLOOR(I56,1000)+1000), FLOOR(I56,20)&amp;"-"&amp;(FLOOR(I56,20)+20))</f>
        <v>6000-7000</v>
      </c>
    </row>
    <row r="57" customFormat="false" ht="15" hidden="false" customHeight="true" outlineLevel="0" collapsed="false">
      <c r="A57" s="12" t="n">
        <v>52</v>
      </c>
      <c r="B57" s="13" t="n">
        <v>45564</v>
      </c>
      <c r="C57" s="12" t="s">
        <v>8</v>
      </c>
      <c r="D57" s="12" t="s">
        <v>36</v>
      </c>
      <c r="E57" s="14" t="n">
        <v>2500</v>
      </c>
      <c r="F57" s="15" t="n">
        <v>2427.18</v>
      </c>
      <c r="G57" s="15" t="n">
        <v>72.82</v>
      </c>
      <c r="H57" s="16" t="n">
        <v>0.3673</v>
      </c>
      <c r="I57" s="15" t="n">
        <v>6607.77</v>
      </c>
      <c r="J57" s="12" t="str">
        <f aca="false">IF(C57="Gold", FLOOR(I57,1000)&amp;"-"&amp;(FLOOR(I57,1000)+1000), FLOOR(I57,20)&amp;"-"&amp;(FLOOR(I57,20)+20))</f>
        <v>6000-7000</v>
      </c>
    </row>
    <row r="58" customFormat="false" ht="15" hidden="false" customHeight="true" outlineLevel="0" collapsed="false">
      <c r="A58" s="12" t="n">
        <v>53</v>
      </c>
      <c r="B58" s="13" t="n">
        <v>45571</v>
      </c>
      <c r="C58" s="12" t="s">
        <v>9</v>
      </c>
      <c r="D58" s="12" t="s">
        <v>36</v>
      </c>
      <c r="E58" s="14" t="n">
        <v>10000</v>
      </c>
      <c r="F58" s="15" t="n">
        <v>9708.74</v>
      </c>
      <c r="G58" s="15" t="n">
        <v>291.26</v>
      </c>
      <c r="H58" s="16" t="n">
        <v>129.5535</v>
      </c>
      <c r="I58" s="15" t="n">
        <v>74.94</v>
      </c>
      <c r="J58" s="12" t="str">
        <f aca="false">IF(C58="Gold", FLOOR(I58,1000)&amp;"-"&amp;(FLOOR(I58,1000)+1000), FLOOR(I58,20)&amp;"-"&amp;(FLOOR(I58,20)+20))</f>
        <v>60-80</v>
      </c>
    </row>
    <row r="59" customFormat="false" ht="15" hidden="false" customHeight="true" outlineLevel="0" collapsed="false">
      <c r="A59" s="12" t="n">
        <v>54</v>
      </c>
      <c r="B59" s="13" t="n">
        <v>45573</v>
      </c>
      <c r="C59" s="12" t="s">
        <v>8</v>
      </c>
      <c r="D59" s="12" t="s">
        <v>36</v>
      </c>
      <c r="E59" s="14" t="n">
        <v>1000</v>
      </c>
      <c r="F59" s="15" t="n">
        <v>970.87</v>
      </c>
      <c r="G59" s="15" t="n">
        <v>29.13</v>
      </c>
      <c r="H59" s="16" t="n">
        <v>0.1515</v>
      </c>
      <c r="I59" s="15" t="n">
        <v>6409.48</v>
      </c>
      <c r="J59" s="12" t="str">
        <f aca="false">IF(C59="Gold", FLOOR(I59,1000)&amp;"-"&amp;(FLOOR(I59,1000)+1000), FLOOR(I59,20)&amp;"-"&amp;(FLOOR(I59,20)+20))</f>
        <v>6000-7000</v>
      </c>
    </row>
    <row r="60" customFormat="false" ht="15" hidden="false" customHeight="true" outlineLevel="0" collapsed="false">
      <c r="A60" s="12" t="n">
        <v>55</v>
      </c>
      <c r="B60" s="13" t="n">
        <v>45574</v>
      </c>
      <c r="C60" s="12" t="s">
        <v>8</v>
      </c>
      <c r="D60" s="12" t="s">
        <v>36</v>
      </c>
      <c r="E60" s="14" t="n">
        <v>15000</v>
      </c>
      <c r="F60" s="15" t="n">
        <v>14563.11</v>
      </c>
      <c r="G60" s="15" t="n">
        <v>436.89</v>
      </c>
      <c r="H60" s="16" t="n">
        <v>2.1743</v>
      </c>
      <c r="I60" s="15" t="n">
        <v>6697.82</v>
      </c>
      <c r="J60" s="12" t="str">
        <f aca="false">IF(C60="Gold", FLOOR(I60,1000)&amp;"-"&amp;(FLOOR(I60,1000)+1000), FLOOR(I60,20)&amp;"-"&amp;(FLOOR(I60,20)+20))</f>
        <v>6000-7000</v>
      </c>
    </row>
    <row r="61" customFormat="false" ht="15" hidden="false" customHeight="true" outlineLevel="0" collapsed="false">
      <c r="A61" s="12" t="n">
        <v>56</v>
      </c>
      <c r="B61" s="13" t="n">
        <v>45581</v>
      </c>
      <c r="C61" s="12" t="s">
        <v>8</v>
      </c>
      <c r="D61" s="12" t="s">
        <v>36</v>
      </c>
      <c r="E61" s="14" t="n">
        <v>10000</v>
      </c>
      <c r="F61" s="15" t="n">
        <v>9708.74</v>
      </c>
      <c r="G61" s="15" t="n">
        <v>291.26</v>
      </c>
      <c r="H61" s="16" t="n">
        <v>1.4317</v>
      </c>
      <c r="I61" s="15" t="n">
        <v>6781.31</v>
      </c>
      <c r="J61" s="12" t="str">
        <f aca="false">IF(C61="Gold", FLOOR(I61,1000)&amp;"-"&amp;(FLOOR(I61,1000)+1000), FLOOR(I61,20)&amp;"-"&amp;(FLOOR(I61,20)+20))</f>
        <v>6000-7000</v>
      </c>
    </row>
    <row r="62" customFormat="false" ht="15" hidden="false" customHeight="true" outlineLevel="0" collapsed="false">
      <c r="A62" s="12" t="n">
        <v>57</v>
      </c>
      <c r="B62" s="13" t="n">
        <v>45584</v>
      </c>
      <c r="C62" s="12" t="s">
        <v>9</v>
      </c>
      <c r="D62" s="12" t="s">
        <v>37</v>
      </c>
      <c r="E62" s="14" t="n">
        <v>12000</v>
      </c>
      <c r="F62" s="15" t="n">
        <v>11650.49</v>
      </c>
      <c r="G62" s="15" t="n">
        <v>349.51</v>
      </c>
      <c r="H62" s="16" t="n">
        <v>148.4139</v>
      </c>
      <c r="I62" s="15" t="n">
        <v>78.5</v>
      </c>
      <c r="J62" s="12" t="str">
        <f aca="false">IF(C62="Gold", FLOOR(I62,1000)&amp;"-"&amp;(FLOOR(I62,1000)+1000), FLOOR(I62,20)&amp;"-"&amp;(FLOOR(I62,20)+20))</f>
        <v>60-80</v>
      </c>
    </row>
    <row r="63" customFormat="false" ht="15" hidden="false" customHeight="true" outlineLevel="0" collapsed="false">
      <c r="A63" s="12" t="n">
        <v>58</v>
      </c>
      <c r="B63" s="13" t="n">
        <v>45587</v>
      </c>
      <c r="C63" s="12" t="s">
        <v>9</v>
      </c>
      <c r="D63" s="12" t="s">
        <v>36</v>
      </c>
      <c r="E63" s="14" t="n">
        <v>20000</v>
      </c>
      <c r="F63" s="15" t="n">
        <v>19417.48</v>
      </c>
      <c r="G63" s="15" t="n">
        <v>582.52</v>
      </c>
      <c r="H63" s="16" t="n">
        <v>258.2455</v>
      </c>
      <c r="I63" s="15" t="n">
        <v>75.19</v>
      </c>
      <c r="J63" s="12" t="str">
        <f aca="false">IF(C63="Gold", FLOOR(I63,1000)&amp;"-"&amp;(FLOOR(I63,1000)+1000), FLOOR(I63,20)&amp;"-"&amp;(FLOOR(I63,20)+20))</f>
        <v>60-80</v>
      </c>
    </row>
    <row r="64" customFormat="false" ht="15" hidden="false" customHeight="true" outlineLevel="0" collapsed="false">
      <c r="A64" s="12" t="n">
        <v>59</v>
      </c>
      <c r="B64" s="13" t="n">
        <v>45601</v>
      </c>
      <c r="C64" s="12" t="s">
        <v>9</v>
      </c>
      <c r="D64" s="12" t="s">
        <v>38</v>
      </c>
      <c r="E64" s="14" t="n">
        <v>20000</v>
      </c>
      <c r="F64" s="15" t="n">
        <v>19417.48</v>
      </c>
      <c r="G64" s="15" t="n">
        <v>582.52</v>
      </c>
      <c r="H64" s="16" t="n">
        <v>235.7062</v>
      </c>
      <c r="I64" s="15" t="n">
        <v>82.38</v>
      </c>
      <c r="J64" s="12" t="str">
        <f aca="false">IF(C64="Gold", FLOOR(I64,1000)&amp;"-"&amp;(FLOOR(I64,1000)+1000), FLOOR(I64,20)&amp;"-"&amp;(FLOOR(I64,20)+20))</f>
        <v>80-100</v>
      </c>
    </row>
    <row r="65" customFormat="false" ht="15" hidden="false" customHeight="true" outlineLevel="0" collapsed="false">
      <c r="A65" s="12" t="n">
        <v>60</v>
      </c>
      <c r="B65" s="13" t="n">
        <v>45602</v>
      </c>
      <c r="C65" s="12" t="s">
        <v>8</v>
      </c>
      <c r="D65" s="12" t="s">
        <v>38</v>
      </c>
      <c r="E65" s="14" t="n">
        <v>3000</v>
      </c>
      <c r="F65" s="15" t="n">
        <v>2912.62</v>
      </c>
      <c r="G65" s="15" t="n">
        <v>87.38</v>
      </c>
      <c r="H65" s="16" t="n">
        <v>0.4227</v>
      </c>
      <c r="I65" s="15" t="n">
        <v>6891.2</v>
      </c>
      <c r="J65" s="12" t="str">
        <f aca="false">IF(C65="Gold", FLOOR(I65,1000)&amp;"-"&amp;(FLOOR(I65,1000)+1000), FLOOR(I65,20)&amp;"-"&amp;(FLOOR(I65,20)+20))</f>
        <v>6000-7000</v>
      </c>
    </row>
    <row r="66" customFormat="false" ht="15" hidden="false" customHeight="true" outlineLevel="0" collapsed="false">
      <c r="A66" s="12" t="n">
        <v>61</v>
      </c>
      <c r="B66" s="13" t="n">
        <v>45603</v>
      </c>
      <c r="C66" s="12" t="s">
        <v>9</v>
      </c>
      <c r="D66" s="12" t="s">
        <v>38</v>
      </c>
      <c r="E66" s="14" t="n">
        <v>20000</v>
      </c>
      <c r="F66" s="15" t="n">
        <v>19417.48</v>
      </c>
      <c r="G66" s="15" t="n">
        <v>582.52</v>
      </c>
      <c r="H66" s="16" t="n">
        <v>244.7993</v>
      </c>
      <c r="I66" s="15" t="n">
        <v>79.32</v>
      </c>
      <c r="J66" s="12" t="str">
        <f aca="false">IF(C66="Gold", FLOOR(I66,1000)&amp;"-"&amp;(FLOOR(I66,1000)+1000), FLOOR(I66,20)&amp;"-"&amp;(FLOOR(I66,20)+20))</f>
        <v>60-80</v>
      </c>
    </row>
    <row r="67" customFormat="false" ht="15" hidden="false" customHeight="true" outlineLevel="0" collapsed="false">
      <c r="A67" s="12" t="n">
        <v>62</v>
      </c>
      <c r="B67" s="13" t="n">
        <v>45610</v>
      </c>
      <c r="C67" s="12" t="s">
        <v>8</v>
      </c>
      <c r="D67" s="12" t="s">
        <v>38</v>
      </c>
      <c r="E67" s="14" t="n">
        <v>2500</v>
      </c>
      <c r="F67" s="15" t="n">
        <v>2427.18</v>
      </c>
      <c r="G67" s="15" t="n">
        <v>72.82</v>
      </c>
      <c r="H67" s="16" t="n">
        <v>0.357</v>
      </c>
      <c r="I67" s="15" t="n">
        <v>6798.1</v>
      </c>
      <c r="J67" s="12" t="str">
        <f aca="false">IF(C67="Gold", FLOOR(I67,1000)&amp;"-"&amp;(FLOOR(I67,1000)+1000), FLOOR(I67,20)&amp;"-"&amp;(FLOOR(I67,20)+20))</f>
        <v>6000-7000</v>
      </c>
    </row>
    <row r="68" customFormat="false" ht="15" hidden="false" customHeight="true" outlineLevel="0" collapsed="false">
      <c r="A68" s="12" t="n">
        <v>63</v>
      </c>
      <c r="B68" s="13" t="n">
        <v>45615</v>
      </c>
      <c r="C68" s="12" t="s">
        <v>8</v>
      </c>
      <c r="D68" s="12" t="s">
        <v>36</v>
      </c>
      <c r="E68" s="14" t="n">
        <v>1500</v>
      </c>
      <c r="F68" s="15" t="n">
        <v>1456.31</v>
      </c>
      <c r="G68" s="15" t="n">
        <v>43.69</v>
      </c>
      <c r="H68" s="16" t="n">
        <v>0.2124</v>
      </c>
      <c r="I68" s="15" t="n">
        <v>6855.78</v>
      </c>
      <c r="J68" s="12" t="str">
        <f aca="false">IF(C68="Gold", FLOOR(I68,1000)&amp;"-"&amp;(FLOOR(I68,1000)+1000), FLOOR(I68,20)&amp;"-"&amp;(FLOOR(I68,20)+20))</f>
        <v>6000-7000</v>
      </c>
    </row>
    <row r="69" customFormat="false" ht="15" hidden="false" customHeight="true" outlineLevel="0" collapsed="false">
      <c r="A69" s="12" t="n">
        <v>64</v>
      </c>
      <c r="B69" s="13" t="n">
        <v>45622</v>
      </c>
      <c r="C69" s="12" t="s">
        <v>8</v>
      </c>
      <c r="D69" s="12" t="s">
        <v>38</v>
      </c>
      <c r="E69" s="14" t="n">
        <v>3000</v>
      </c>
      <c r="F69" s="15" t="n">
        <v>2912.62</v>
      </c>
      <c r="G69" s="15" t="n">
        <v>87.38</v>
      </c>
      <c r="H69" s="16" t="n">
        <v>0.437</v>
      </c>
      <c r="I69" s="15" t="n">
        <v>6664.65</v>
      </c>
      <c r="J69" s="12" t="str">
        <f aca="false">IF(C69="Gold", FLOOR(I69,1000)&amp;"-"&amp;(FLOOR(I69,1000)+1000), FLOOR(I69,20)&amp;"-"&amp;(FLOOR(I69,20)+20))</f>
        <v>6000-7000</v>
      </c>
    </row>
    <row r="70" customFormat="false" ht="15" hidden="false" customHeight="true" outlineLevel="0" collapsed="false">
      <c r="A70" s="12" t="n">
        <v>65</v>
      </c>
      <c r="B70" s="13" t="n">
        <v>45627</v>
      </c>
      <c r="C70" s="12" t="s">
        <v>9</v>
      </c>
      <c r="D70" s="12" t="s">
        <v>37</v>
      </c>
      <c r="E70" s="14" t="n">
        <v>5000</v>
      </c>
      <c r="F70" s="15" t="n">
        <v>4854.37</v>
      </c>
      <c r="G70" s="15" t="n">
        <v>145.63</v>
      </c>
      <c r="H70" s="16" t="n">
        <v>62.7018</v>
      </c>
      <c r="I70" s="15" t="n">
        <v>77.42</v>
      </c>
      <c r="J70" s="12" t="str">
        <f aca="false">IF(C70="Gold", FLOOR(I70,1000)&amp;"-"&amp;(FLOOR(I70,1000)+1000), FLOOR(I70,20)&amp;"-"&amp;(FLOOR(I70,20)+20))</f>
        <v>60-80</v>
      </c>
    </row>
    <row r="71" customFormat="false" ht="15" hidden="false" customHeight="true" outlineLevel="0" collapsed="false">
      <c r="A71" s="12" t="n">
        <v>66</v>
      </c>
      <c r="B71" s="13" t="n">
        <v>45643</v>
      </c>
      <c r="C71" s="12" t="s">
        <v>9</v>
      </c>
      <c r="D71" s="12" t="s">
        <v>36</v>
      </c>
      <c r="E71" s="14" t="n">
        <v>5000</v>
      </c>
      <c r="F71" s="15" t="n">
        <v>4854.37</v>
      </c>
      <c r="G71" s="15" t="n">
        <v>145.63</v>
      </c>
      <c r="H71" s="16" t="n">
        <v>58.7412</v>
      </c>
      <c r="I71" s="15" t="n">
        <v>82.64</v>
      </c>
      <c r="J71" s="12" t="str">
        <f aca="false">IF(C71="Gold", FLOOR(I71,1000)&amp;"-"&amp;(FLOOR(I71,1000)+1000), FLOOR(I71,20)&amp;"-"&amp;(FLOOR(I71,20)+20))</f>
        <v>80-100</v>
      </c>
    </row>
    <row r="72" customFormat="false" ht="15" hidden="false" customHeight="true" outlineLevel="0" collapsed="false">
      <c r="A72" s="12" t="n">
        <v>67</v>
      </c>
      <c r="B72" s="13" t="n">
        <v>45644</v>
      </c>
      <c r="C72" s="12" t="s">
        <v>9</v>
      </c>
      <c r="D72" s="12" t="s">
        <v>38</v>
      </c>
      <c r="E72" s="14" t="n">
        <v>1500</v>
      </c>
      <c r="F72" s="15" t="n">
        <v>1456.31</v>
      </c>
      <c r="G72" s="15" t="n">
        <v>43.69</v>
      </c>
      <c r="H72" s="16" t="n">
        <v>18.4694</v>
      </c>
      <c r="I72" s="15" t="n">
        <v>78.85</v>
      </c>
      <c r="J72" s="12" t="str">
        <f aca="false">IF(C72="Gold", FLOOR(I72,1000)&amp;"-"&amp;(FLOOR(I72,1000)+1000), FLOOR(I72,20)&amp;"-"&amp;(FLOOR(I72,20)+20))</f>
        <v>60-80</v>
      </c>
    </row>
    <row r="73" customFormat="false" ht="15" hidden="false" customHeight="true" outlineLevel="0" collapsed="false">
      <c r="A73" s="12" t="n">
        <v>68</v>
      </c>
      <c r="B73" s="13" t="n">
        <v>45646</v>
      </c>
      <c r="C73" s="12" t="s">
        <v>8</v>
      </c>
      <c r="D73" s="12" t="s">
        <v>37</v>
      </c>
      <c r="E73" s="14" t="n">
        <v>7500</v>
      </c>
      <c r="F73" s="15" t="n">
        <v>7281.55</v>
      </c>
      <c r="G73" s="15" t="n">
        <v>218.45</v>
      </c>
      <c r="H73" s="16" t="n">
        <v>1.0297</v>
      </c>
      <c r="I73" s="15" t="n">
        <v>7071.34</v>
      </c>
      <c r="J73" s="12" t="str">
        <f aca="false">IF(C73="Gold", FLOOR(I73,1000)&amp;"-"&amp;(FLOOR(I73,1000)+1000), FLOOR(I73,20)&amp;"-"&amp;(FLOOR(I73,20)+20))</f>
        <v>7000-8000</v>
      </c>
    </row>
    <row r="74" customFormat="false" ht="15" hidden="false" customHeight="true" outlineLevel="0" collapsed="false">
      <c r="A74" s="12" t="n">
        <v>69</v>
      </c>
      <c r="B74" s="13" t="n">
        <v>45648</v>
      </c>
      <c r="C74" s="12" t="s">
        <v>8</v>
      </c>
      <c r="D74" s="12" t="s">
        <v>36</v>
      </c>
      <c r="E74" s="14" t="n">
        <v>30000</v>
      </c>
      <c r="F74" s="15" t="n">
        <v>29126.21</v>
      </c>
      <c r="G74" s="15" t="n">
        <v>873.79</v>
      </c>
      <c r="H74" s="16" t="n">
        <v>4.1159</v>
      </c>
      <c r="I74" s="15" t="n">
        <v>7076.54</v>
      </c>
      <c r="J74" s="12" t="str">
        <f aca="false">IF(C74="Gold", FLOOR(I74,1000)&amp;"-"&amp;(FLOOR(I74,1000)+1000), FLOOR(I74,20)&amp;"-"&amp;(FLOOR(I74,20)+20))</f>
        <v>7000-8000</v>
      </c>
    </row>
    <row r="75" customFormat="false" ht="15" hidden="false" customHeight="true" outlineLevel="0" collapsed="false">
      <c r="A75" s="12" t="n">
        <v>70</v>
      </c>
      <c r="B75" s="13" t="n">
        <v>45648</v>
      </c>
      <c r="C75" s="12" t="s">
        <v>8</v>
      </c>
      <c r="D75" s="12" t="s">
        <v>36</v>
      </c>
      <c r="E75" s="14" t="n">
        <v>2000</v>
      </c>
      <c r="F75" s="15" t="n">
        <v>1941.75</v>
      </c>
      <c r="G75" s="15" t="n">
        <v>58.25</v>
      </c>
      <c r="H75" s="16" t="n">
        <v>0.2906</v>
      </c>
      <c r="I75" s="15" t="n">
        <v>6682.55</v>
      </c>
      <c r="J75" s="12" t="str">
        <f aca="false">IF(C75="Gold", FLOOR(I75,1000)&amp;"-"&amp;(FLOOR(I75,1000)+1000), FLOOR(I75,20)&amp;"-"&amp;(FLOOR(I75,20)+20))</f>
        <v>6000-7000</v>
      </c>
    </row>
    <row r="76" customFormat="false" ht="15" hidden="false" customHeight="true" outlineLevel="0" collapsed="false">
      <c r="A76" s="12" t="n">
        <v>71</v>
      </c>
      <c r="B76" s="13" t="n">
        <v>45654</v>
      </c>
      <c r="C76" s="12" t="s">
        <v>9</v>
      </c>
      <c r="D76" s="12" t="s">
        <v>36</v>
      </c>
      <c r="E76" s="14" t="n">
        <v>8000</v>
      </c>
      <c r="F76" s="15" t="n">
        <v>7766.99</v>
      </c>
      <c r="G76" s="15" t="n">
        <v>233.01</v>
      </c>
      <c r="H76" s="16" t="n">
        <v>98.779</v>
      </c>
      <c r="I76" s="15" t="n">
        <v>78.63</v>
      </c>
      <c r="J76" s="12" t="str">
        <f aca="false">IF(C76="Gold", FLOOR(I76,1000)&amp;"-"&amp;(FLOOR(I76,1000)+1000), FLOOR(I76,20)&amp;"-"&amp;(FLOOR(I76,20)+20))</f>
        <v>60-80</v>
      </c>
    </row>
    <row r="77" customFormat="false" ht="15" hidden="false" customHeight="true" outlineLevel="0" collapsed="false">
      <c r="A77" s="12" t="n">
        <v>72</v>
      </c>
      <c r="B77" s="13" t="n">
        <v>45669</v>
      </c>
      <c r="C77" s="12" t="s">
        <v>8</v>
      </c>
      <c r="D77" s="12" t="s">
        <v>36</v>
      </c>
      <c r="E77" s="14" t="n">
        <v>1500</v>
      </c>
      <c r="F77" s="15" t="n">
        <v>1456.31</v>
      </c>
      <c r="G77" s="15" t="n">
        <v>43.69</v>
      </c>
      <c r="H77" s="16" t="n">
        <v>0.2128</v>
      </c>
      <c r="I77" s="15" t="n">
        <v>6844.46</v>
      </c>
      <c r="J77" s="12" t="str">
        <f aca="false">IF(C77="Gold", FLOOR(I77,1000)&amp;"-"&amp;(FLOOR(I77,1000)+1000), FLOOR(I77,20)&amp;"-"&amp;(FLOOR(I77,20)+20))</f>
        <v>6000-7000</v>
      </c>
    </row>
    <row r="78" customFormat="false" ht="15" hidden="false" customHeight="true" outlineLevel="0" collapsed="false">
      <c r="A78" s="12" t="n">
        <v>73</v>
      </c>
      <c r="B78" s="13" t="n">
        <v>45670</v>
      </c>
      <c r="C78" s="12" t="s">
        <v>8</v>
      </c>
      <c r="D78" s="12" t="s">
        <v>36</v>
      </c>
      <c r="E78" s="14" t="n">
        <v>7500</v>
      </c>
      <c r="F78" s="15" t="n">
        <v>7281.55</v>
      </c>
      <c r="G78" s="15" t="n">
        <v>218.45</v>
      </c>
      <c r="H78" s="16" t="n">
        <v>1.0313</v>
      </c>
      <c r="I78" s="15" t="n">
        <v>7060.29</v>
      </c>
      <c r="J78" s="12" t="str">
        <f aca="false">IF(C78="Gold", FLOOR(I78,1000)&amp;"-"&amp;(FLOOR(I78,1000)+1000), FLOOR(I78,20)&amp;"-"&amp;(FLOOR(I78,20)+20))</f>
        <v>7000-8000</v>
      </c>
    </row>
    <row r="79" customFormat="false" ht="15" hidden="false" customHeight="true" outlineLevel="0" collapsed="false">
      <c r="A79" s="12" t="n">
        <v>74</v>
      </c>
      <c r="B79" s="13" t="n">
        <v>45681</v>
      </c>
      <c r="C79" s="12" t="s">
        <v>9</v>
      </c>
      <c r="D79" s="12" t="s">
        <v>38</v>
      </c>
      <c r="E79" s="14" t="n">
        <v>8000</v>
      </c>
      <c r="F79" s="15" t="n">
        <v>7766.99</v>
      </c>
      <c r="G79" s="15" t="n">
        <v>233.01</v>
      </c>
      <c r="H79" s="16" t="n">
        <v>97.7595</v>
      </c>
      <c r="I79" s="15" t="n">
        <v>79.45</v>
      </c>
      <c r="J79" s="12" t="str">
        <f aca="false">IF(C79="Gold", FLOOR(I79,1000)&amp;"-"&amp;(FLOOR(I79,1000)+1000), FLOOR(I79,20)&amp;"-"&amp;(FLOOR(I79,20)+20))</f>
        <v>60-80</v>
      </c>
    </row>
    <row r="80" customFormat="false" ht="15" hidden="false" customHeight="true" outlineLevel="0" collapsed="false">
      <c r="A80" s="12" t="n">
        <v>75</v>
      </c>
      <c r="B80" s="13" t="n">
        <v>45689</v>
      </c>
      <c r="C80" s="12" t="s">
        <v>8</v>
      </c>
      <c r="D80" s="12" t="s">
        <v>38</v>
      </c>
      <c r="E80" s="14" t="n">
        <v>10000</v>
      </c>
      <c r="F80" s="15" t="n">
        <v>9708.74</v>
      </c>
      <c r="G80" s="15" t="n">
        <v>291.26</v>
      </c>
      <c r="H80" s="16" t="n">
        <v>1.34</v>
      </c>
      <c r="I80" s="15" t="n">
        <v>7245.13</v>
      </c>
      <c r="J80" s="12" t="str">
        <f aca="false">IF(C80="Gold", FLOOR(I80,1000)&amp;"-"&amp;(FLOOR(I80,1000)+1000), FLOOR(I80,20)&amp;"-"&amp;(FLOOR(I80,20)+20))</f>
        <v>7000-8000</v>
      </c>
    </row>
    <row r="81" customFormat="false" ht="15" hidden="false" customHeight="true" outlineLevel="0" collapsed="false">
      <c r="A81" s="12" t="n">
        <v>76</v>
      </c>
      <c r="B81" s="13" t="n">
        <v>45689</v>
      </c>
      <c r="C81" s="12" t="s">
        <v>8</v>
      </c>
      <c r="D81" s="12" t="s">
        <v>36</v>
      </c>
      <c r="E81" s="14" t="n">
        <v>6000</v>
      </c>
      <c r="F81" s="15" t="n">
        <v>5825.24</v>
      </c>
      <c r="G81" s="15" t="n">
        <v>174.76</v>
      </c>
      <c r="H81" s="16" t="n">
        <v>0.8093</v>
      </c>
      <c r="I81" s="15" t="n">
        <v>7197.71</v>
      </c>
      <c r="J81" s="12" t="str">
        <f aca="false">IF(C81="Gold", FLOOR(I81,1000)&amp;"-"&amp;(FLOOR(I81,1000)+1000), FLOOR(I81,20)&amp;"-"&amp;(FLOOR(I81,20)+20))</f>
        <v>7000-8000</v>
      </c>
    </row>
    <row r="82" customFormat="false" ht="15" hidden="false" customHeight="true" outlineLevel="0" collapsed="false">
      <c r="A82" s="12" t="n">
        <v>77</v>
      </c>
      <c r="B82" s="13" t="n">
        <v>45696</v>
      </c>
      <c r="C82" s="12" t="s">
        <v>9</v>
      </c>
      <c r="D82" s="12" t="s">
        <v>38</v>
      </c>
      <c r="E82" s="14" t="n">
        <v>25000</v>
      </c>
      <c r="F82" s="15" t="n">
        <v>24271.84</v>
      </c>
      <c r="G82" s="15" t="n">
        <v>728.16</v>
      </c>
      <c r="H82" s="16" t="n">
        <v>278.4106</v>
      </c>
      <c r="I82" s="15" t="n">
        <v>87.18</v>
      </c>
      <c r="J82" s="12" t="str">
        <f aca="false">IF(C82="Gold", FLOOR(I82,1000)&amp;"-"&amp;(FLOOR(I82,1000)+1000), FLOOR(I82,20)&amp;"-"&amp;(FLOOR(I82,20)+20))</f>
        <v>80-100</v>
      </c>
    </row>
    <row r="83" customFormat="false" ht="15" hidden="false" customHeight="true" outlineLevel="0" collapsed="false">
      <c r="A83" s="12" t="n">
        <v>78</v>
      </c>
      <c r="B83" s="13" t="n">
        <v>45697</v>
      </c>
      <c r="C83" s="12" t="s">
        <v>8</v>
      </c>
      <c r="D83" s="12" t="s">
        <v>36</v>
      </c>
      <c r="E83" s="14" t="n">
        <v>5000</v>
      </c>
      <c r="F83" s="15" t="n">
        <v>4854.37</v>
      </c>
      <c r="G83" s="15" t="n">
        <v>145.63</v>
      </c>
      <c r="H83" s="16" t="n">
        <v>0.68</v>
      </c>
      <c r="I83" s="15" t="n">
        <v>7138.83</v>
      </c>
      <c r="J83" s="12" t="str">
        <f aca="false">IF(C83="Gold", FLOOR(I83,1000)&amp;"-"&amp;(FLOOR(I83,1000)+1000), FLOOR(I83,20)&amp;"-"&amp;(FLOOR(I83,20)+20))</f>
        <v>7000-8000</v>
      </c>
    </row>
    <row r="84" customFormat="false" ht="15" hidden="false" customHeight="true" outlineLevel="0" collapsed="false">
      <c r="A84" s="12" t="n">
        <v>79</v>
      </c>
      <c r="B84" s="13" t="n">
        <v>45697</v>
      </c>
      <c r="C84" s="12" t="s">
        <v>8</v>
      </c>
      <c r="D84" s="12" t="s">
        <v>37</v>
      </c>
      <c r="E84" s="14" t="n">
        <v>1500</v>
      </c>
      <c r="F84" s="15" t="n">
        <v>1456.31</v>
      </c>
      <c r="G84" s="15" t="n">
        <v>43.69</v>
      </c>
      <c r="H84" s="16" t="n">
        <v>0.2065</v>
      </c>
      <c r="I84" s="15" t="n">
        <v>7051.32</v>
      </c>
      <c r="J84" s="12" t="str">
        <f aca="false">IF(C84="Gold", FLOOR(I84,1000)&amp;"-"&amp;(FLOOR(I84,1000)+1000), FLOOR(I84,20)&amp;"-"&amp;(FLOOR(I84,20)+20))</f>
        <v>7000-8000</v>
      </c>
    </row>
    <row r="85" customFormat="false" ht="15" hidden="false" customHeight="true" outlineLevel="0" collapsed="false">
      <c r="A85" s="12" t="n">
        <v>80</v>
      </c>
      <c r="B85" s="13" t="n">
        <v>45709</v>
      </c>
      <c r="C85" s="12" t="s">
        <v>8</v>
      </c>
      <c r="D85" s="12" t="s">
        <v>36</v>
      </c>
      <c r="E85" s="14" t="n">
        <v>2500</v>
      </c>
      <c r="F85" s="15" t="n">
        <v>2427.18</v>
      </c>
      <c r="G85" s="15" t="n">
        <v>72.82</v>
      </c>
      <c r="H85" s="16" t="n">
        <v>0.349</v>
      </c>
      <c r="I85" s="15" t="n">
        <v>6954.67</v>
      </c>
      <c r="J85" s="12" t="str">
        <f aca="false">IF(C85="Gold", FLOOR(I85,1000)&amp;"-"&amp;(FLOOR(I85,1000)+1000), FLOOR(I85,20)&amp;"-"&amp;(FLOOR(I85,20)+20))</f>
        <v>6000-7000</v>
      </c>
    </row>
    <row r="86" customFormat="false" ht="15" hidden="false" customHeight="true" outlineLevel="0" collapsed="false">
      <c r="A86" s="12" t="n">
        <v>81</v>
      </c>
      <c r="B86" s="13" t="n">
        <v>45721</v>
      </c>
      <c r="C86" s="12" t="s">
        <v>9</v>
      </c>
      <c r="D86" s="12" t="s">
        <v>36</v>
      </c>
      <c r="E86" s="14" t="n">
        <v>10000</v>
      </c>
      <c r="F86" s="15" t="n">
        <v>9708.74</v>
      </c>
      <c r="G86" s="15" t="n">
        <v>291.26</v>
      </c>
      <c r="H86" s="16" t="n">
        <v>108.7205</v>
      </c>
      <c r="I86" s="15" t="n">
        <v>89.3</v>
      </c>
      <c r="J86" s="12" t="str">
        <f aca="false">IF(C86="Gold", FLOOR(I86,1000)&amp;"-"&amp;(FLOOR(I86,1000)+1000), FLOOR(I86,20)&amp;"-"&amp;(FLOOR(I86,20)+20))</f>
        <v>80-100</v>
      </c>
    </row>
    <row r="87" customFormat="false" ht="15" hidden="false" customHeight="true" outlineLevel="0" collapsed="false">
      <c r="A87" s="12" t="n">
        <v>82</v>
      </c>
      <c r="B87" s="13" t="n">
        <v>45725</v>
      </c>
      <c r="C87" s="12" t="s">
        <v>9</v>
      </c>
      <c r="D87" s="12" t="s">
        <v>36</v>
      </c>
      <c r="E87" s="14" t="n">
        <v>10000</v>
      </c>
      <c r="F87" s="15" t="n">
        <v>9708.74</v>
      </c>
      <c r="G87" s="15" t="n">
        <v>291.26</v>
      </c>
      <c r="H87" s="16" t="n">
        <v>108.526</v>
      </c>
      <c r="I87" s="15" t="n">
        <v>89.46</v>
      </c>
      <c r="J87" s="12" t="str">
        <f aca="false">IF(C87="Gold", FLOOR(I87,1000)&amp;"-"&amp;(FLOOR(I87,1000)+1000), FLOOR(I87,20)&amp;"-"&amp;(FLOOR(I87,20)+20))</f>
        <v>80-100</v>
      </c>
    </row>
    <row r="88" customFormat="false" ht="15" hidden="false" customHeight="true" outlineLevel="0" collapsed="false">
      <c r="A88" s="12" t="n">
        <v>83</v>
      </c>
      <c r="B88" s="13" t="n">
        <v>45733</v>
      </c>
      <c r="C88" s="12" t="s">
        <v>9</v>
      </c>
      <c r="D88" s="12" t="s">
        <v>36</v>
      </c>
      <c r="E88" s="14" t="n">
        <v>6000</v>
      </c>
      <c r="F88" s="15" t="n">
        <v>5825.24</v>
      </c>
      <c r="G88" s="15" t="n">
        <v>174.76</v>
      </c>
      <c r="H88" s="16" t="n">
        <v>68.7182</v>
      </c>
      <c r="I88" s="15" t="n">
        <v>84.77</v>
      </c>
      <c r="J88" s="12" t="str">
        <f aca="false">IF(C88="Gold", FLOOR(I88,1000)&amp;"-"&amp;(FLOOR(I88,1000)+1000), FLOOR(I88,20)&amp;"-"&amp;(FLOOR(I88,20)+20))</f>
        <v>80-100</v>
      </c>
    </row>
    <row r="89" customFormat="false" ht="15" hidden="false" customHeight="true" outlineLevel="0" collapsed="false">
      <c r="A89" s="12" t="n">
        <v>84</v>
      </c>
      <c r="B89" s="13" t="n">
        <v>45755</v>
      </c>
      <c r="C89" s="12" t="s">
        <v>8</v>
      </c>
      <c r="D89" s="12" t="s">
        <v>37</v>
      </c>
      <c r="E89" s="14" t="n">
        <v>1500</v>
      </c>
      <c r="F89" s="15" t="n">
        <v>1456.31</v>
      </c>
      <c r="G89" s="15" t="n">
        <v>43.69</v>
      </c>
      <c r="H89" s="16" t="n">
        <v>0.2035</v>
      </c>
      <c r="I89" s="15" t="n">
        <v>7157.94</v>
      </c>
      <c r="J89" s="12" t="str">
        <f aca="false">IF(C89="Gold", FLOOR(I89,1000)&amp;"-"&amp;(FLOOR(I89,1000)+1000), FLOOR(I89,20)&amp;"-"&amp;(FLOOR(I89,20)+20))</f>
        <v>7000-8000</v>
      </c>
    </row>
    <row r="90" customFormat="false" ht="15" hidden="false" customHeight="true" outlineLevel="0" collapsed="false">
      <c r="A90" s="12" t="n">
        <v>85</v>
      </c>
      <c r="B90" s="13" t="n">
        <v>45759</v>
      </c>
      <c r="C90" s="12" t="s">
        <v>9</v>
      </c>
      <c r="D90" s="12" t="s">
        <v>38</v>
      </c>
      <c r="E90" s="14" t="n">
        <v>15000</v>
      </c>
      <c r="F90" s="15" t="n">
        <v>14563.11</v>
      </c>
      <c r="G90" s="15" t="n">
        <v>436.89</v>
      </c>
      <c r="H90" s="16" t="n">
        <v>159.9287</v>
      </c>
      <c r="I90" s="15" t="n">
        <v>91.06</v>
      </c>
      <c r="J90" s="12" t="str">
        <f aca="false">IF(C90="Gold", FLOOR(I90,1000)&amp;"-"&amp;(FLOOR(I90,1000)+1000), FLOOR(I90,20)&amp;"-"&amp;(FLOOR(I90,20)+20))</f>
        <v>80-100</v>
      </c>
    </row>
    <row r="91" customFormat="false" ht="15" hidden="false" customHeight="true" outlineLevel="0" collapsed="false">
      <c r="A91" s="12" t="n">
        <v>86</v>
      </c>
      <c r="B91" s="13" t="n">
        <v>45759</v>
      </c>
      <c r="C91" s="12" t="s">
        <v>9</v>
      </c>
      <c r="D91" s="12" t="s">
        <v>36</v>
      </c>
      <c r="E91" s="14" t="n">
        <v>35000</v>
      </c>
      <c r="F91" s="15" t="n">
        <v>33980.58</v>
      </c>
      <c r="G91" s="15" t="n">
        <v>1019.42</v>
      </c>
      <c r="H91" s="16" t="n">
        <v>392.4761</v>
      </c>
      <c r="I91" s="15" t="n">
        <v>86.58</v>
      </c>
      <c r="J91" s="12" t="str">
        <f aca="false">IF(C91="Gold", FLOOR(I91,1000)&amp;"-"&amp;(FLOOR(I91,1000)+1000), FLOOR(I91,20)&amp;"-"&amp;(FLOOR(I91,20)+20))</f>
        <v>80-100</v>
      </c>
    </row>
    <row r="92" customFormat="false" ht="15" hidden="false" customHeight="true" outlineLevel="0" collapsed="false">
      <c r="A92" s="12" t="n">
        <v>87</v>
      </c>
      <c r="B92" s="13" t="n">
        <v>45767</v>
      </c>
      <c r="C92" s="12" t="s">
        <v>8</v>
      </c>
      <c r="D92" s="12" t="s">
        <v>37</v>
      </c>
      <c r="E92" s="14" t="n">
        <v>4000</v>
      </c>
      <c r="F92" s="15" t="n">
        <v>3883.5</v>
      </c>
      <c r="G92" s="15" t="n">
        <v>116.5</v>
      </c>
      <c r="H92" s="16" t="n">
        <v>0.5286</v>
      </c>
      <c r="I92" s="15" t="n">
        <v>7346.99</v>
      </c>
      <c r="J92" s="12" t="str">
        <f aca="false">IF(C92="Gold", FLOOR(I92,1000)&amp;"-"&amp;(FLOOR(I92,1000)+1000), FLOOR(I92,20)&amp;"-"&amp;(FLOOR(I92,20)+20))</f>
        <v>7000-8000</v>
      </c>
    </row>
    <row r="93" customFormat="false" ht="15" hidden="false" customHeight="true" outlineLevel="0" collapsed="false">
      <c r="A93" s="12" t="n">
        <v>88</v>
      </c>
      <c r="B93" s="13" t="n">
        <v>45768</v>
      </c>
      <c r="C93" s="12" t="s">
        <v>8</v>
      </c>
      <c r="D93" s="12" t="s">
        <v>36</v>
      </c>
      <c r="E93" s="14" t="n">
        <v>10000</v>
      </c>
      <c r="F93" s="15" t="n">
        <v>9708.74</v>
      </c>
      <c r="G93" s="15" t="n">
        <v>291.26</v>
      </c>
      <c r="H93" s="16" t="n">
        <v>1.3546</v>
      </c>
      <c r="I93" s="15" t="n">
        <v>7167.02</v>
      </c>
      <c r="J93" s="12" t="str">
        <f aca="false">IF(C93="Gold", FLOOR(I93,1000)&amp;"-"&amp;(FLOOR(I93,1000)+1000), FLOOR(I93,20)&amp;"-"&amp;(FLOOR(I93,20)+20))</f>
        <v>7000-8000</v>
      </c>
    </row>
    <row r="94" customFormat="false" ht="15" hidden="false" customHeight="true" outlineLevel="0" collapsed="false">
      <c r="A94" s="12" t="n">
        <v>89</v>
      </c>
      <c r="B94" s="13" t="n">
        <v>45781</v>
      </c>
      <c r="C94" s="12" t="s">
        <v>8</v>
      </c>
      <c r="D94" s="12" t="s">
        <v>36</v>
      </c>
      <c r="E94" s="14" t="n">
        <v>18000</v>
      </c>
      <c r="F94" s="15" t="n">
        <v>17475.73</v>
      </c>
      <c r="G94" s="15" t="n">
        <v>524.27</v>
      </c>
      <c r="H94" s="16" t="n">
        <v>2.3602</v>
      </c>
      <c r="I94" s="15" t="n">
        <v>7404.39</v>
      </c>
      <c r="J94" s="12" t="str">
        <f aca="false">IF(C94="Gold", FLOOR(I94,1000)&amp;"-"&amp;(FLOOR(I94,1000)+1000), FLOOR(I94,20)&amp;"-"&amp;(FLOOR(I94,20)+20))</f>
        <v>7000-8000</v>
      </c>
    </row>
    <row r="95" customFormat="false" ht="15" hidden="false" customHeight="true" outlineLevel="0" collapsed="false">
      <c r="A95" s="12" t="n">
        <v>90</v>
      </c>
      <c r="B95" s="13" t="n">
        <v>45785</v>
      </c>
      <c r="C95" s="12" t="s">
        <v>9</v>
      </c>
      <c r="D95" s="12" t="s">
        <v>38</v>
      </c>
      <c r="E95" s="14" t="n">
        <v>6000</v>
      </c>
      <c r="F95" s="15" t="n">
        <v>5825.24</v>
      </c>
      <c r="G95" s="15" t="n">
        <v>174.76</v>
      </c>
      <c r="H95" s="16" t="n">
        <v>66.9722</v>
      </c>
      <c r="I95" s="15" t="n">
        <v>86.98</v>
      </c>
      <c r="J95" s="12" t="str">
        <f aca="false">IF(C95="Gold", FLOOR(I95,1000)&amp;"-"&amp;(FLOOR(I95,1000)+1000), FLOOR(I95,20)&amp;"-"&amp;(FLOOR(I95,20)+20))</f>
        <v>80-100</v>
      </c>
    </row>
    <row r="96" customFormat="false" ht="15" hidden="false" customHeight="true" outlineLevel="0" collapsed="false">
      <c r="A96" s="12" t="n">
        <v>91</v>
      </c>
      <c r="B96" s="13" t="n">
        <v>45786</v>
      </c>
      <c r="C96" s="12" t="s">
        <v>9</v>
      </c>
      <c r="D96" s="12" t="s">
        <v>37</v>
      </c>
      <c r="E96" s="14" t="n">
        <v>2000</v>
      </c>
      <c r="F96" s="15" t="n">
        <v>1941.75</v>
      </c>
      <c r="G96" s="15" t="n">
        <v>58.25</v>
      </c>
      <c r="H96" s="16" t="n">
        <v>22.6048</v>
      </c>
      <c r="I96" s="15" t="n">
        <v>85.9</v>
      </c>
      <c r="J96" s="12" t="str">
        <f aca="false">IF(C96="Gold", FLOOR(I96,1000)&amp;"-"&amp;(FLOOR(I96,1000)+1000), FLOOR(I96,20)&amp;"-"&amp;(FLOOR(I96,20)+20))</f>
        <v>80-100</v>
      </c>
    </row>
    <row r="97" customFormat="false" ht="15" hidden="false" customHeight="true" outlineLevel="0" collapsed="false">
      <c r="A97" s="12" t="n">
        <v>92</v>
      </c>
      <c r="B97" s="13" t="n">
        <v>45786</v>
      </c>
      <c r="C97" s="12" t="s">
        <v>9</v>
      </c>
      <c r="D97" s="12" t="s">
        <v>38</v>
      </c>
      <c r="E97" s="14" t="n">
        <v>4000</v>
      </c>
      <c r="F97" s="15" t="n">
        <v>3883.5</v>
      </c>
      <c r="G97" s="15" t="n">
        <v>116.5</v>
      </c>
      <c r="H97" s="16" t="n">
        <v>45.7798</v>
      </c>
      <c r="I97" s="15" t="n">
        <v>84.83</v>
      </c>
      <c r="J97" s="12" t="str">
        <f aca="false">IF(C97="Gold", FLOOR(I97,1000)&amp;"-"&amp;(FLOOR(I97,1000)+1000), FLOOR(I97,20)&amp;"-"&amp;(FLOOR(I97,20)+20))</f>
        <v>80-100</v>
      </c>
    </row>
    <row r="98" customFormat="false" ht="15" hidden="false" customHeight="true" outlineLevel="0" collapsed="false">
      <c r="A98" s="12" t="n">
        <v>93</v>
      </c>
      <c r="B98" s="13" t="n">
        <v>45792</v>
      </c>
      <c r="C98" s="12" t="s">
        <v>9</v>
      </c>
      <c r="D98" s="12" t="s">
        <v>36</v>
      </c>
      <c r="E98" s="14" t="n">
        <v>2500</v>
      </c>
      <c r="F98" s="15" t="n">
        <v>2427.18</v>
      </c>
      <c r="G98" s="15" t="n">
        <v>72.82</v>
      </c>
      <c r="H98" s="16" t="n">
        <v>28.7615</v>
      </c>
      <c r="I98" s="15" t="n">
        <v>84.39</v>
      </c>
      <c r="J98" s="12" t="str">
        <f aca="false">IF(C98="Gold", FLOOR(I98,1000)&amp;"-"&amp;(FLOOR(I98,1000)+1000), FLOOR(I98,20)&amp;"-"&amp;(FLOOR(I98,20)+20))</f>
        <v>80-100</v>
      </c>
    </row>
    <row r="99" customFormat="false" ht="15" hidden="false" customHeight="true" outlineLevel="0" collapsed="false">
      <c r="A99" s="12" t="n">
        <v>94</v>
      </c>
      <c r="B99" s="13" t="n">
        <v>45793</v>
      </c>
      <c r="C99" s="12" t="s">
        <v>8</v>
      </c>
      <c r="D99" s="12" t="s">
        <v>38</v>
      </c>
      <c r="E99" s="14" t="n">
        <v>10000</v>
      </c>
      <c r="F99" s="15" t="n">
        <v>9708.74</v>
      </c>
      <c r="G99" s="15" t="n">
        <v>291.26</v>
      </c>
      <c r="H99" s="16" t="n">
        <v>1.3238</v>
      </c>
      <c r="I99" s="15" t="n">
        <v>7334.08</v>
      </c>
      <c r="J99" s="12" t="str">
        <f aca="false">IF(C99="Gold", FLOOR(I99,1000)&amp;"-"&amp;(FLOOR(I99,1000)+1000), FLOOR(I99,20)&amp;"-"&amp;(FLOOR(I99,20)+20))</f>
        <v>7000-8000</v>
      </c>
    </row>
    <row r="100" customFormat="false" ht="15" hidden="false" customHeight="true" outlineLevel="0" collapsed="false">
      <c r="A100" s="12" t="n">
        <v>95</v>
      </c>
      <c r="B100" s="13" t="n">
        <v>45797</v>
      </c>
      <c r="C100" s="12" t="s">
        <v>8</v>
      </c>
      <c r="D100" s="12" t="s">
        <v>36</v>
      </c>
      <c r="E100" s="14" t="n">
        <v>7500</v>
      </c>
      <c r="F100" s="15" t="n">
        <v>7281.55</v>
      </c>
      <c r="G100" s="15" t="n">
        <v>218.45</v>
      </c>
      <c r="H100" s="16" t="n">
        <v>0.976</v>
      </c>
      <c r="I100" s="15" t="n">
        <v>7460.93</v>
      </c>
      <c r="J100" s="12" t="str">
        <f aca="false">IF(C100="Gold", FLOOR(I100,1000)&amp;"-"&amp;(FLOOR(I100,1000)+1000), FLOOR(I100,20)&amp;"-"&amp;(FLOOR(I100,20)+20))</f>
        <v>7000-8000</v>
      </c>
    </row>
    <row r="101" customFormat="false" ht="15" hidden="false" customHeight="true" outlineLevel="0" collapsed="false">
      <c r="A101" s="12" t="n">
        <v>96</v>
      </c>
      <c r="B101" s="13" t="n">
        <v>45799</v>
      </c>
      <c r="C101" s="12" t="s">
        <v>9</v>
      </c>
      <c r="D101" s="12" t="s">
        <v>38</v>
      </c>
      <c r="E101" s="14" t="n">
        <v>5000</v>
      </c>
      <c r="F101" s="15" t="n">
        <v>4854.37</v>
      </c>
      <c r="G101" s="15" t="n">
        <v>145.63</v>
      </c>
      <c r="H101" s="16" t="n">
        <v>56.4921</v>
      </c>
      <c r="I101" s="15" t="n">
        <v>85.93</v>
      </c>
      <c r="J101" s="12" t="str">
        <f aca="false">IF(C101="Gold", FLOOR(I101,1000)&amp;"-"&amp;(FLOOR(I101,1000)+1000), FLOOR(I101,20)&amp;"-"&amp;(FLOOR(I101,20)+20))</f>
        <v>80-100</v>
      </c>
    </row>
    <row r="102" customFormat="false" ht="15" hidden="false" customHeight="true" outlineLevel="0" collapsed="false">
      <c r="A102" s="12" t="n">
        <v>97</v>
      </c>
      <c r="B102" s="13" t="n">
        <v>45802</v>
      </c>
      <c r="C102" s="12" t="s">
        <v>9</v>
      </c>
      <c r="D102" s="12" t="s">
        <v>38</v>
      </c>
      <c r="E102" s="14" t="n">
        <v>20000</v>
      </c>
      <c r="F102" s="15" t="n">
        <v>19417.48</v>
      </c>
      <c r="G102" s="15" t="n">
        <v>582.52</v>
      </c>
      <c r="H102" s="16" t="n">
        <v>221.762</v>
      </c>
      <c r="I102" s="15" t="n">
        <v>87.56</v>
      </c>
      <c r="J102" s="12" t="str">
        <f aca="false">IF(C102="Gold", FLOOR(I102,1000)&amp;"-"&amp;(FLOOR(I102,1000)+1000), FLOOR(I102,20)&amp;"-"&amp;(FLOOR(I102,20)+20))</f>
        <v>80-100</v>
      </c>
    </row>
    <row r="103" customFormat="false" ht="15" hidden="false" customHeight="true" outlineLevel="0" collapsed="false">
      <c r="A103" s="12" t="n">
        <v>98</v>
      </c>
      <c r="B103" s="13" t="n">
        <v>45803</v>
      </c>
      <c r="C103" s="12" t="s">
        <v>9</v>
      </c>
      <c r="D103" s="12" t="s">
        <v>37</v>
      </c>
      <c r="E103" s="14" t="n">
        <v>4000</v>
      </c>
      <c r="F103" s="15" t="n">
        <v>3883.5</v>
      </c>
      <c r="G103" s="15" t="n">
        <v>116.5</v>
      </c>
      <c r="H103" s="16" t="n">
        <v>44.679</v>
      </c>
      <c r="I103" s="15" t="n">
        <v>86.92</v>
      </c>
      <c r="J103" s="12" t="str">
        <f aca="false">IF(C103="Gold", FLOOR(I103,1000)&amp;"-"&amp;(FLOOR(I103,1000)+1000), FLOOR(I103,20)&amp;"-"&amp;(FLOOR(I103,20)+20))</f>
        <v>80-100</v>
      </c>
    </row>
    <row r="104" customFormat="false" ht="15" hidden="false" customHeight="true" outlineLevel="0" collapsed="false">
      <c r="A104" s="12" t="n">
        <v>99</v>
      </c>
      <c r="B104" s="13" t="n">
        <v>45803</v>
      </c>
      <c r="C104" s="12" t="s">
        <v>9</v>
      </c>
      <c r="D104" s="12" t="s">
        <v>36</v>
      </c>
      <c r="E104" s="14" t="n">
        <v>20000</v>
      </c>
      <c r="F104" s="15" t="n">
        <v>19417.48</v>
      </c>
      <c r="G104" s="15" t="n">
        <v>582.52</v>
      </c>
      <c r="H104" s="16" t="n">
        <v>219.2084</v>
      </c>
      <c r="I104" s="15" t="n">
        <v>88.58</v>
      </c>
      <c r="J104" s="12" t="str">
        <f aca="false">IF(C104="Gold", FLOOR(I104,1000)&amp;"-"&amp;(FLOOR(I104,1000)+1000), FLOOR(I104,20)&amp;"-"&amp;(FLOOR(I104,20)+20))</f>
        <v>80-100</v>
      </c>
    </row>
    <row r="105" customFormat="false" ht="15" hidden="false" customHeight="true" outlineLevel="0" collapsed="false">
      <c r="A105" s="12" t="n">
        <v>100</v>
      </c>
      <c r="B105" s="13" t="n">
        <v>45805</v>
      </c>
      <c r="C105" s="12" t="s">
        <v>9</v>
      </c>
      <c r="D105" s="12" t="s">
        <v>37</v>
      </c>
      <c r="E105" s="14" t="n">
        <v>7500</v>
      </c>
      <c r="F105" s="15" t="n">
        <v>7281.55</v>
      </c>
      <c r="G105" s="15" t="n">
        <v>218.45</v>
      </c>
      <c r="H105" s="16" t="n">
        <v>84.3065</v>
      </c>
      <c r="I105" s="15" t="n">
        <v>86.37</v>
      </c>
      <c r="J105" s="12" t="str">
        <f aca="false">IF(C105="Gold", FLOOR(I105,1000)&amp;"-"&amp;(FLOOR(I105,1000)+1000), FLOOR(I105,20)&amp;"-"&amp;(FLOOR(I105,20)+20))</f>
        <v>80-100</v>
      </c>
    </row>
    <row r="106" customFormat="false" ht="15" hidden="false" customHeight="true" outlineLevel="0" collapsed="false">
      <c r="A106" s="12" t="n">
        <v>101</v>
      </c>
      <c r="B106" s="13" t="n">
        <v>45814</v>
      </c>
      <c r="C106" s="12" t="s">
        <v>9</v>
      </c>
      <c r="D106" s="12" t="s">
        <v>36</v>
      </c>
      <c r="E106" s="14" t="n">
        <v>6000</v>
      </c>
      <c r="F106" s="15" t="n">
        <v>5825.24</v>
      </c>
      <c r="G106" s="15" t="n">
        <v>174.76</v>
      </c>
      <c r="H106" s="16" t="n">
        <v>65.5774</v>
      </c>
      <c r="I106" s="15" t="n">
        <v>88.83</v>
      </c>
      <c r="J106" s="12" t="str">
        <f aca="false">IF(C106="Gold", FLOOR(I106,1000)&amp;"-"&amp;(FLOOR(I106,1000)+1000), FLOOR(I106,20)&amp;"-"&amp;(FLOOR(I106,20)+20))</f>
        <v>80-100</v>
      </c>
    </row>
    <row r="107" customFormat="false" ht="15" hidden="false" customHeight="true" outlineLevel="0" collapsed="false">
      <c r="A107" s="12" t="n">
        <v>102</v>
      </c>
      <c r="B107" s="13" t="n">
        <v>45825</v>
      </c>
      <c r="C107" s="12" t="s">
        <v>8</v>
      </c>
      <c r="D107" s="12" t="s">
        <v>38</v>
      </c>
      <c r="E107" s="14" t="n">
        <v>25000</v>
      </c>
      <c r="F107" s="15" t="n">
        <v>24271.84</v>
      </c>
      <c r="G107" s="15" t="n">
        <v>728.16</v>
      </c>
      <c r="H107" s="16" t="n">
        <v>3.2718</v>
      </c>
      <c r="I107" s="15" t="n">
        <v>7418.6</v>
      </c>
      <c r="J107" s="12" t="str">
        <f aca="false">IF(C107="Gold", FLOOR(I107,1000)&amp;"-"&amp;(FLOOR(I107,1000)+1000), FLOOR(I107,20)&amp;"-"&amp;(FLOOR(I107,20)+20))</f>
        <v>7000-8000</v>
      </c>
    </row>
    <row r="108" customFormat="false" ht="15" hidden="false" customHeight="true" outlineLevel="0" collapsed="false">
      <c r="A108" s="12" t="n">
        <v>103</v>
      </c>
      <c r="B108" s="13" t="n">
        <v>45826</v>
      </c>
      <c r="C108" s="12" t="s">
        <v>8</v>
      </c>
      <c r="D108" s="12" t="s">
        <v>37</v>
      </c>
      <c r="E108" s="14" t="n">
        <v>2000</v>
      </c>
      <c r="F108" s="15" t="n">
        <v>1941.75</v>
      </c>
      <c r="G108" s="15" t="n">
        <v>58.25</v>
      </c>
      <c r="H108" s="16" t="n">
        <v>0.2553</v>
      </c>
      <c r="I108" s="15" t="n">
        <v>7605.46</v>
      </c>
      <c r="J108" s="12" t="str">
        <f aca="false">IF(C108="Gold", FLOOR(I108,1000)&amp;"-"&amp;(FLOOR(I108,1000)+1000), FLOOR(I108,20)&amp;"-"&amp;(FLOOR(I108,20)+20))</f>
        <v>7000-8000</v>
      </c>
    </row>
    <row r="109" customFormat="false" ht="15" hidden="false" customHeight="true" outlineLevel="0" collapsed="false">
      <c r="A109" s="12" t="n">
        <v>104</v>
      </c>
      <c r="B109" s="13" t="n">
        <v>45832</v>
      </c>
      <c r="C109" s="12" t="s">
        <v>9</v>
      </c>
      <c r="D109" s="12" t="s">
        <v>37</v>
      </c>
      <c r="E109" s="14" t="n">
        <v>8000</v>
      </c>
      <c r="F109" s="15" t="n">
        <v>7766.99</v>
      </c>
      <c r="G109" s="15" t="n">
        <v>233.01</v>
      </c>
      <c r="H109" s="16" t="n">
        <v>82.9098</v>
      </c>
      <c r="I109" s="15" t="n">
        <v>93.68</v>
      </c>
      <c r="J109" s="12" t="str">
        <f aca="false">IF(C109="Gold", FLOOR(I109,1000)&amp;"-"&amp;(FLOOR(I109,1000)+1000), FLOOR(I109,20)&amp;"-"&amp;(FLOOR(I109,20)+20))</f>
        <v>80-100</v>
      </c>
    </row>
    <row r="110" customFormat="false" ht="15" hidden="false" customHeight="true" outlineLevel="0" collapsed="false">
      <c r="A110" s="12" t="n">
        <v>105</v>
      </c>
      <c r="B110" s="13" t="n">
        <v>45833</v>
      </c>
      <c r="C110" s="12" t="s">
        <v>9</v>
      </c>
      <c r="D110" s="12" t="s">
        <v>38</v>
      </c>
      <c r="E110" s="14" t="n">
        <v>1000</v>
      </c>
      <c r="F110" s="15" t="n">
        <v>970.87</v>
      </c>
      <c r="G110" s="15" t="n">
        <v>29.13</v>
      </c>
      <c r="H110" s="16" t="n">
        <v>10.4608</v>
      </c>
      <c r="I110" s="15" t="n">
        <v>92.81</v>
      </c>
      <c r="J110" s="12" t="str">
        <f aca="false">IF(C110="Gold", FLOOR(I110,1000)&amp;"-"&amp;(FLOOR(I110,1000)+1000), FLOOR(I110,20)&amp;"-"&amp;(FLOOR(I110,20)+20))</f>
        <v>80-100</v>
      </c>
    </row>
    <row r="111" customFormat="false" ht="15" hidden="false" customHeight="true" outlineLevel="0" collapsed="false">
      <c r="A111" s="12" t="n">
        <v>106</v>
      </c>
      <c r="B111" s="13" t="n">
        <v>45834</v>
      </c>
      <c r="C111" s="12" t="s">
        <v>8</v>
      </c>
      <c r="D111" s="12" t="s">
        <v>36</v>
      </c>
      <c r="E111" s="14" t="n">
        <v>12000</v>
      </c>
      <c r="F111" s="15" t="n">
        <v>11650.49</v>
      </c>
      <c r="G111" s="15" t="n">
        <v>349.51</v>
      </c>
      <c r="H111" s="16" t="n">
        <v>1.5007</v>
      </c>
      <c r="I111" s="15" t="n">
        <v>7763.59</v>
      </c>
      <c r="J111" s="12" t="str">
        <f aca="false">IF(C111="Gold", FLOOR(I111,1000)&amp;"-"&amp;(FLOOR(I111,1000)+1000), FLOOR(I111,20)&amp;"-"&amp;(FLOOR(I111,20)+20))</f>
        <v>7000-8000</v>
      </c>
    </row>
    <row r="112" customFormat="false" ht="15" hidden="false" customHeight="true" outlineLevel="0" collapsed="false">
      <c r="A112" s="12" t="n">
        <v>107</v>
      </c>
      <c r="B112" s="13" t="n">
        <v>45835</v>
      </c>
      <c r="C112" s="12" t="s">
        <v>9</v>
      </c>
      <c r="D112" s="12" t="s">
        <v>37</v>
      </c>
      <c r="E112" s="14" t="n">
        <v>2000</v>
      </c>
      <c r="F112" s="15" t="n">
        <v>1941.75</v>
      </c>
      <c r="G112" s="15" t="n">
        <v>58.25</v>
      </c>
      <c r="H112" s="16" t="n">
        <v>20.6965</v>
      </c>
      <c r="I112" s="15" t="n">
        <v>93.82</v>
      </c>
      <c r="J112" s="12" t="str">
        <f aca="false">IF(C112="Gold", FLOOR(I112,1000)&amp;"-"&amp;(FLOOR(I112,1000)+1000), FLOOR(I112,20)&amp;"-"&amp;(FLOOR(I112,20)+20))</f>
        <v>80-100</v>
      </c>
    </row>
    <row r="113" customFormat="false" ht="15" hidden="false" customHeight="true" outlineLevel="0" collapsed="false">
      <c r="A113" s="12" t="n">
        <v>108</v>
      </c>
      <c r="B113" s="13" t="n">
        <v>45836</v>
      </c>
      <c r="C113" s="12" t="s">
        <v>8</v>
      </c>
      <c r="D113" s="12" t="s">
        <v>37</v>
      </c>
      <c r="E113" s="14" t="n">
        <v>10000</v>
      </c>
      <c r="F113" s="15" t="n">
        <v>9708.74</v>
      </c>
      <c r="G113" s="15" t="n">
        <v>291.26</v>
      </c>
      <c r="H113" s="16" t="n">
        <v>1.253</v>
      </c>
      <c r="I113" s="15" t="n">
        <v>7748.24</v>
      </c>
      <c r="J113" s="12" t="str">
        <f aca="false">IF(C113="Gold", FLOOR(I113,1000)&amp;"-"&amp;(FLOOR(I113,1000)+1000), FLOOR(I113,20)&amp;"-"&amp;(FLOOR(I113,20)+20))</f>
        <v>7000-8000</v>
      </c>
    </row>
    <row r="114" customFormat="false" ht="15" hidden="false" customHeight="true" outlineLevel="0" collapsed="false">
      <c r="A114" s="12" t="n">
        <v>109</v>
      </c>
      <c r="B114" s="13" t="n">
        <v>45839</v>
      </c>
      <c r="C114" s="12" t="s">
        <v>9</v>
      </c>
      <c r="D114" s="12" t="s">
        <v>37</v>
      </c>
      <c r="E114" s="14" t="n">
        <v>15000</v>
      </c>
      <c r="F114" s="15" t="n">
        <v>14563.11</v>
      </c>
      <c r="G114" s="15" t="n">
        <v>436.89</v>
      </c>
      <c r="H114" s="16" t="n">
        <v>154.0418</v>
      </c>
      <c r="I114" s="15" t="n">
        <v>94.54</v>
      </c>
      <c r="J114" s="12" t="str">
        <f aca="false">IF(C114="Gold", FLOOR(I114,1000)&amp;"-"&amp;(FLOOR(I114,1000)+1000), FLOOR(I114,20)&amp;"-"&amp;(FLOOR(I114,20)+20))</f>
        <v>80-100</v>
      </c>
    </row>
    <row r="115" customFormat="false" ht="15" hidden="false" customHeight="true" outlineLevel="0" collapsed="false">
      <c r="A115" s="12" t="n">
        <v>110</v>
      </c>
      <c r="B115" s="13" t="n">
        <v>45839</v>
      </c>
      <c r="C115" s="12" t="s">
        <v>9</v>
      </c>
      <c r="D115" s="12" t="s">
        <v>38</v>
      </c>
      <c r="E115" s="14" t="n">
        <v>3000</v>
      </c>
      <c r="F115" s="15" t="n">
        <v>2912.62</v>
      </c>
      <c r="G115" s="15" t="n">
        <v>87.38</v>
      </c>
      <c r="H115" s="16" t="n">
        <v>31.447</v>
      </c>
      <c r="I115" s="15" t="n">
        <v>92.62</v>
      </c>
      <c r="J115" s="12" t="str">
        <f aca="false">IF(C115="Gold", FLOOR(I115,1000)&amp;"-"&amp;(FLOOR(I115,1000)+1000), FLOOR(I115,20)&amp;"-"&amp;(FLOOR(I115,20)+20))</f>
        <v>80-100</v>
      </c>
    </row>
    <row r="116" customFormat="false" ht="15" hidden="false" customHeight="true" outlineLevel="0" collapsed="false">
      <c r="A116" s="12" t="n">
        <v>111</v>
      </c>
      <c r="B116" s="13" t="n">
        <v>45840</v>
      </c>
      <c r="C116" s="12" t="s">
        <v>9</v>
      </c>
      <c r="D116" s="12" t="s">
        <v>37</v>
      </c>
      <c r="E116" s="14" t="n">
        <v>7500</v>
      </c>
      <c r="F116" s="15" t="n">
        <v>7281.55</v>
      </c>
      <c r="G116" s="15" t="n">
        <v>218.45</v>
      </c>
      <c r="H116" s="16" t="n">
        <v>80.2728</v>
      </c>
      <c r="I116" s="15" t="n">
        <v>90.71</v>
      </c>
      <c r="J116" s="12" t="str">
        <f aca="false">IF(C116="Gold", FLOOR(I116,1000)&amp;"-"&amp;(FLOOR(I116,1000)+1000), FLOOR(I116,20)&amp;"-"&amp;(FLOOR(I116,20)+20))</f>
        <v>80-100</v>
      </c>
    </row>
    <row r="117" customFormat="false" ht="15" hidden="false" customHeight="true" outlineLevel="0" collapsed="false">
      <c r="A117" s="12" t="n">
        <v>112</v>
      </c>
      <c r="B117" s="13" t="n">
        <v>45844</v>
      </c>
      <c r="C117" s="12" t="s">
        <v>8</v>
      </c>
      <c r="D117" s="12" t="s">
        <v>38</v>
      </c>
      <c r="E117" s="14" t="n">
        <v>8000</v>
      </c>
      <c r="F117" s="15" t="n">
        <v>7766.99</v>
      </c>
      <c r="G117" s="15" t="n">
        <v>233.01</v>
      </c>
      <c r="H117" s="16" t="n">
        <v>1.0314</v>
      </c>
      <c r="I117" s="15" t="n">
        <v>7530.47</v>
      </c>
      <c r="J117" s="12" t="str">
        <f aca="false">IF(C117="Gold", FLOOR(I117,1000)&amp;"-"&amp;(FLOOR(I117,1000)+1000), FLOOR(I117,20)&amp;"-"&amp;(FLOOR(I117,20)+20))</f>
        <v>7000-8000</v>
      </c>
    </row>
    <row r="118" customFormat="false" ht="15" hidden="false" customHeight="true" outlineLevel="0" collapsed="false">
      <c r="A118" s="12" t="n">
        <v>113</v>
      </c>
      <c r="B118" s="13" t="n">
        <v>45845</v>
      </c>
      <c r="C118" s="12" t="s">
        <v>9</v>
      </c>
      <c r="D118" s="12" t="s">
        <v>38</v>
      </c>
      <c r="E118" s="14" t="n">
        <v>8000</v>
      </c>
      <c r="F118" s="15" t="n">
        <v>7766.99</v>
      </c>
      <c r="G118" s="15" t="n">
        <v>233.01</v>
      </c>
      <c r="H118" s="16" t="n">
        <v>86.5306</v>
      </c>
      <c r="I118" s="15" t="n">
        <v>89.76</v>
      </c>
      <c r="J118" s="12" t="str">
        <f aca="false">IF(C118="Gold", FLOOR(I118,1000)&amp;"-"&amp;(FLOOR(I118,1000)+1000), FLOOR(I118,20)&amp;"-"&amp;(FLOOR(I118,20)+20))</f>
        <v>80-100</v>
      </c>
    </row>
    <row r="119" customFormat="false" ht="15" hidden="false" customHeight="true" outlineLevel="0" collapsed="false">
      <c r="A119" s="12" t="n">
        <v>114</v>
      </c>
      <c r="B119" s="13" t="n">
        <v>45849</v>
      </c>
      <c r="C119" s="12" t="s">
        <v>8</v>
      </c>
      <c r="D119" s="12" t="s">
        <v>38</v>
      </c>
      <c r="E119" s="14" t="n">
        <v>4000</v>
      </c>
      <c r="F119" s="15" t="n">
        <v>3883.5</v>
      </c>
      <c r="G119" s="15" t="n">
        <v>116.5</v>
      </c>
      <c r="H119" s="16" t="n">
        <v>0.5154</v>
      </c>
      <c r="I119" s="15" t="n">
        <v>7534.2</v>
      </c>
      <c r="J119" s="12" t="str">
        <f aca="false">IF(C119="Gold", FLOOR(I119,1000)&amp;"-"&amp;(FLOOR(I119,1000)+1000), FLOOR(I119,20)&amp;"-"&amp;(FLOOR(I119,20)+20))</f>
        <v>7000-8000</v>
      </c>
    </row>
    <row r="120" customFormat="false" ht="15" hidden="false" customHeight="true" outlineLevel="0" collapsed="false">
      <c r="A120" s="12" t="n">
        <v>115</v>
      </c>
      <c r="B120" s="13" t="n">
        <v>45856</v>
      </c>
      <c r="C120" s="12" t="s">
        <v>8</v>
      </c>
      <c r="D120" s="12" t="s">
        <v>36</v>
      </c>
      <c r="E120" s="14" t="n">
        <v>1000</v>
      </c>
      <c r="F120" s="15" t="n">
        <v>970.87</v>
      </c>
      <c r="G120" s="15" t="n">
        <v>29.13</v>
      </c>
      <c r="H120" s="16" t="n">
        <v>0.1281</v>
      </c>
      <c r="I120" s="15" t="n">
        <v>7578.46</v>
      </c>
      <c r="J120" s="12" t="str">
        <f aca="false">IF(C120="Gold", FLOOR(I120,1000)&amp;"-"&amp;(FLOOR(I120,1000)+1000), FLOOR(I120,20)&amp;"-"&amp;(FLOOR(I120,20)+20))</f>
        <v>7000-8000</v>
      </c>
    </row>
    <row r="121" customFormat="false" ht="15" hidden="false" customHeight="true" outlineLevel="0" collapsed="false">
      <c r="A121" s="12" t="n">
        <v>116</v>
      </c>
      <c r="B121" s="13" t="n">
        <v>45856</v>
      </c>
      <c r="C121" s="12" t="s">
        <v>8</v>
      </c>
      <c r="D121" s="12" t="s">
        <v>36</v>
      </c>
      <c r="E121" s="14" t="n">
        <v>1500</v>
      </c>
      <c r="F121" s="15" t="n">
        <v>1456.31</v>
      </c>
      <c r="G121" s="15" t="n">
        <v>43.69</v>
      </c>
      <c r="H121" s="16" t="n">
        <v>0.1883</v>
      </c>
      <c r="I121" s="15" t="n">
        <v>7734.8</v>
      </c>
      <c r="J121" s="12" t="str">
        <f aca="false">IF(C121="Gold", FLOOR(I121,1000)&amp;"-"&amp;(FLOOR(I121,1000)+1000), FLOOR(I121,20)&amp;"-"&amp;(FLOOR(I121,20)+20))</f>
        <v>7000-8000</v>
      </c>
    </row>
    <row r="122" customFormat="false" ht="15" hidden="false" customHeight="true" outlineLevel="0" collapsed="false">
      <c r="A122" s="12" t="n">
        <v>117</v>
      </c>
      <c r="B122" s="13" t="n">
        <v>45857</v>
      </c>
      <c r="C122" s="12" t="s">
        <v>8</v>
      </c>
      <c r="D122" s="12" t="s">
        <v>38</v>
      </c>
      <c r="E122" s="14" t="n">
        <v>1000</v>
      </c>
      <c r="F122" s="15" t="n">
        <v>970.87</v>
      </c>
      <c r="G122" s="15" t="n">
        <v>29.13</v>
      </c>
      <c r="H122" s="16" t="n">
        <v>0.1248</v>
      </c>
      <c r="I122" s="15" t="n">
        <v>7782.17</v>
      </c>
      <c r="J122" s="12" t="str">
        <f aca="false">IF(C122="Gold", FLOOR(I122,1000)&amp;"-"&amp;(FLOOR(I122,1000)+1000), FLOOR(I122,20)&amp;"-"&amp;(FLOOR(I122,20)+20))</f>
        <v>7000-8000</v>
      </c>
    </row>
    <row r="123" customFormat="false" ht="15" hidden="false" customHeight="true" outlineLevel="0" collapsed="false">
      <c r="A123" s="12" t="n">
        <v>118</v>
      </c>
      <c r="B123" s="13" t="n">
        <v>45859</v>
      </c>
      <c r="C123" s="12" t="s">
        <v>8</v>
      </c>
      <c r="D123" s="12" t="s">
        <v>36</v>
      </c>
      <c r="E123" s="14" t="n">
        <v>6000</v>
      </c>
      <c r="F123" s="15" t="n">
        <v>5825.24</v>
      </c>
      <c r="G123" s="15" t="n">
        <v>174.76</v>
      </c>
      <c r="H123" s="16" t="n">
        <v>0.7645</v>
      </c>
      <c r="I123" s="15" t="n">
        <v>7619.68</v>
      </c>
      <c r="J123" s="12" t="str">
        <f aca="false">IF(C123="Gold", FLOOR(I123,1000)&amp;"-"&amp;(FLOOR(I123,1000)+1000), FLOOR(I123,20)&amp;"-"&amp;(FLOOR(I123,20)+20))</f>
        <v>7000-8000</v>
      </c>
    </row>
    <row r="124" customFormat="false" ht="15" hidden="false" customHeight="true" outlineLevel="0" collapsed="false">
      <c r="A124" s="12" t="n">
        <v>119</v>
      </c>
      <c r="B124" s="13" t="n">
        <v>45871</v>
      </c>
      <c r="C124" s="12" t="s">
        <v>8</v>
      </c>
      <c r="D124" s="12" t="s">
        <v>37</v>
      </c>
      <c r="E124" s="14" t="n">
        <v>20000</v>
      </c>
      <c r="F124" s="15" t="n">
        <v>19417.48</v>
      </c>
      <c r="G124" s="15" t="n">
        <v>582.52</v>
      </c>
      <c r="H124" s="16" t="n">
        <v>2.5082</v>
      </c>
      <c r="I124" s="15" t="n">
        <v>7741.67</v>
      </c>
      <c r="J124" s="12" t="str">
        <f aca="false">IF(C124="Gold", FLOOR(I124,1000)&amp;"-"&amp;(FLOOR(I124,1000)+1000), FLOOR(I124,20)&amp;"-"&amp;(FLOOR(I124,20)+20))</f>
        <v>7000-8000</v>
      </c>
    </row>
    <row r="125" customFormat="false" ht="15" hidden="false" customHeight="true" outlineLevel="0" collapsed="false">
      <c r="A125" s="12" t="n">
        <v>120</v>
      </c>
      <c r="B125" s="13" t="n">
        <v>45884</v>
      </c>
      <c r="C125" s="12" t="s">
        <v>9</v>
      </c>
      <c r="D125" s="12" t="s">
        <v>38</v>
      </c>
      <c r="E125" s="14" t="n">
        <v>2000</v>
      </c>
      <c r="F125" s="15" t="n">
        <v>1941.75</v>
      </c>
      <c r="G125" s="15" t="n">
        <v>58.25</v>
      </c>
      <c r="H125" s="16" t="n">
        <v>20.7718</v>
      </c>
      <c r="I125" s="15" t="n">
        <v>93.48</v>
      </c>
      <c r="J125" s="12" t="str">
        <f aca="false">IF(C125="Gold", FLOOR(I125,1000)&amp;"-"&amp;(FLOOR(I125,1000)+1000), FLOOR(I125,20)&amp;"-"&amp;(FLOOR(I125,20)+20))</f>
        <v>80-100</v>
      </c>
    </row>
    <row r="126" customFormat="false" ht="15" hidden="false" customHeight="true" outlineLevel="0" collapsed="false">
      <c r="A126" s="12" t="n">
        <v>121</v>
      </c>
      <c r="B126" s="13" t="n">
        <v>45891</v>
      </c>
      <c r="C126" s="12" t="s">
        <v>9</v>
      </c>
      <c r="D126" s="12" t="s">
        <v>37</v>
      </c>
      <c r="E126" s="14" t="n">
        <v>2500</v>
      </c>
      <c r="F126" s="15" t="n">
        <v>2427.18</v>
      </c>
      <c r="G126" s="15" t="n">
        <v>72.82</v>
      </c>
      <c r="H126" s="16" t="n">
        <v>25.8238</v>
      </c>
      <c r="I126" s="15" t="n">
        <v>93.99</v>
      </c>
      <c r="J126" s="12" t="str">
        <f aca="false">IF(C126="Gold", FLOOR(I126,1000)&amp;"-"&amp;(FLOOR(I126,1000)+1000), FLOOR(I126,20)&amp;"-"&amp;(FLOOR(I126,20)+20))</f>
        <v>80-100</v>
      </c>
    </row>
    <row r="127" customFormat="false" ht="15" hidden="false" customHeight="true" outlineLevel="0" collapsed="false">
      <c r="A127" s="12" t="n">
        <v>122</v>
      </c>
      <c r="B127" s="13" t="n">
        <v>45892</v>
      </c>
      <c r="C127" s="12" t="s">
        <v>9</v>
      </c>
      <c r="D127" s="12" t="s">
        <v>36</v>
      </c>
      <c r="E127" s="14" t="n">
        <v>8000</v>
      </c>
      <c r="F127" s="15" t="n">
        <v>7766.99</v>
      </c>
      <c r="G127" s="15" t="n">
        <v>233.01</v>
      </c>
      <c r="H127" s="16" t="n">
        <v>86.8985</v>
      </c>
      <c r="I127" s="15" t="n">
        <v>89.38</v>
      </c>
      <c r="J127" s="12" t="str">
        <f aca="false">IF(C127="Gold", FLOOR(I127,1000)&amp;"-"&amp;(FLOOR(I127,1000)+1000), FLOOR(I127,20)&amp;"-"&amp;(FLOOR(I127,20)+20))</f>
        <v>80-100</v>
      </c>
    </row>
    <row r="128" customFormat="false" ht="15" hidden="false" customHeight="true" outlineLevel="0" collapsed="false">
      <c r="A128" s="12" t="n">
        <v>123</v>
      </c>
      <c r="B128" s="13" t="n">
        <v>45894</v>
      </c>
      <c r="C128" s="12" t="s">
        <v>9</v>
      </c>
      <c r="D128" s="12" t="s">
        <v>38</v>
      </c>
      <c r="E128" s="14" t="n">
        <v>12000</v>
      </c>
      <c r="F128" s="15" t="n">
        <v>11650.49</v>
      </c>
      <c r="G128" s="15" t="n">
        <v>349.51</v>
      </c>
      <c r="H128" s="16" t="n">
        <v>122.598</v>
      </c>
      <c r="I128" s="15" t="n">
        <v>95.03</v>
      </c>
      <c r="J128" s="12" t="str">
        <f aca="false">IF(C128="Gold", FLOOR(I128,1000)&amp;"-"&amp;(FLOOR(I128,1000)+1000), FLOOR(I128,20)&amp;"-"&amp;(FLOOR(I128,20)+20))</f>
        <v>80-100</v>
      </c>
    </row>
    <row r="129" customFormat="false" ht="15" hidden="false" customHeight="true" outlineLevel="0" collapsed="false">
      <c r="A129" s="12" t="n">
        <v>124</v>
      </c>
      <c r="B129" s="13" t="n">
        <v>45896</v>
      </c>
      <c r="C129" s="12" t="s">
        <v>8</v>
      </c>
      <c r="D129" s="12" t="s">
        <v>37</v>
      </c>
      <c r="E129" s="14" t="n">
        <v>7500</v>
      </c>
      <c r="F129" s="15" t="n">
        <v>7281.55</v>
      </c>
      <c r="G129" s="15" t="n">
        <v>218.45</v>
      </c>
      <c r="H129" s="16" t="n">
        <v>0.9507</v>
      </c>
      <c r="I129" s="15" t="n">
        <v>7659.48</v>
      </c>
      <c r="J129" s="12" t="str">
        <f aca="false">IF(C129="Gold", FLOOR(I129,1000)&amp;"-"&amp;(FLOOR(I129,1000)+1000), FLOOR(I129,20)&amp;"-"&amp;(FLOOR(I129,20)+20))</f>
        <v>7000-8000</v>
      </c>
    </row>
    <row r="130" customFormat="false" ht="15" hidden="false" customHeight="true" outlineLevel="0" collapsed="false">
      <c r="A130" s="12" t="n">
        <v>125</v>
      </c>
      <c r="B130" s="13" t="n">
        <v>45900</v>
      </c>
      <c r="C130" s="12" t="s">
        <v>9</v>
      </c>
      <c r="D130" s="12" t="s">
        <v>37</v>
      </c>
      <c r="E130" s="14" t="n">
        <v>15000</v>
      </c>
      <c r="F130" s="15" t="n">
        <v>14563.11</v>
      </c>
      <c r="G130" s="15" t="n">
        <v>436.89</v>
      </c>
      <c r="H130" s="16" t="n">
        <v>153.2475</v>
      </c>
      <c r="I130" s="15" t="n">
        <v>95.03</v>
      </c>
      <c r="J130" s="12" t="str">
        <f aca="false">IF(C130="Gold", FLOOR(I130,1000)&amp;"-"&amp;(FLOOR(I130,1000)+1000), FLOOR(I130,20)&amp;"-"&amp;(FLOOR(I130,20)+20))</f>
        <v>80-100</v>
      </c>
    </row>
    <row r="131" customFormat="false" ht="15" hidden="false" customHeight="true" outlineLevel="0" collapsed="false">
      <c r="A131" s="12" t="n">
        <v>126</v>
      </c>
      <c r="B131" s="13" t="n">
        <v>45906</v>
      </c>
      <c r="C131" s="12" t="s">
        <v>9</v>
      </c>
      <c r="D131" s="12" t="s">
        <v>36</v>
      </c>
      <c r="E131" s="14" t="n">
        <v>10000</v>
      </c>
      <c r="F131" s="15" t="n">
        <v>9708.74</v>
      </c>
      <c r="G131" s="15" t="n">
        <v>291.26</v>
      </c>
      <c r="H131" s="16" t="n">
        <v>106.666</v>
      </c>
      <c r="I131" s="15" t="n">
        <v>91.02</v>
      </c>
      <c r="J131" s="12" t="str">
        <f aca="false">IF(C131="Gold", FLOOR(I131,1000)&amp;"-"&amp;(FLOOR(I131,1000)+1000), FLOOR(I131,20)&amp;"-"&amp;(FLOOR(I131,20)+20))</f>
        <v>80-100</v>
      </c>
    </row>
    <row r="132" customFormat="false" ht="15" hidden="false" customHeight="true" outlineLevel="0" collapsed="false">
      <c r="A132" s="12" t="n">
        <v>127</v>
      </c>
      <c r="B132" s="13" t="n">
        <v>45906</v>
      </c>
      <c r="C132" s="12" t="s">
        <v>8</v>
      </c>
      <c r="D132" s="12" t="s">
        <v>36</v>
      </c>
      <c r="E132" s="14" t="n">
        <v>4000</v>
      </c>
      <c r="F132" s="15" t="n">
        <v>3883.5</v>
      </c>
      <c r="G132" s="15" t="n">
        <v>116.5</v>
      </c>
      <c r="H132" s="16" t="n">
        <v>0.5018</v>
      </c>
      <c r="I132" s="15" t="n">
        <v>7739.9</v>
      </c>
      <c r="J132" s="12" t="str">
        <f aca="false">IF(C132="Gold", FLOOR(I132,1000)&amp;"-"&amp;(FLOOR(I132,1000)+1000), FLOOR(I132,20)&amp;"-"&amp;(FLOOR(I132,20)+20))</f>
        <v>7000-8000</v>
      </c>
    </row>
    <row r="133" customFormat="false" ht="15" hidden="false" customHeight="true" outlineLevel="0" collapsed="false">
      <c r="A133" s="12" t="n">
        <v>128</v>
      </c>
      <c r="B133" s="13" t="n">
        <v>45919</v>
      </c>
      <c r="C133" s="12" t="s">
        <v>9</v>
      </c>
      <c r="D133" s="12" t="s">
        <v>36</v>
      </c>
      <c r="E133" s="14" t="n">
        <v>2000</v>
      </c>
      <c r="F133" s="15" t="n">
        <v>1941.75</v>
      </c>
      <c r="G133" s="15" t="n">
        <v>58.25</v>
      </c>
      <c r="H133" s="16" t="n">
        <v>21.1727</v>
      </c>
      <c r="I133" s="15" t="n">
        <v>91.71</v>
      </c>
      <c r="J133" s="12" t="str">
        <f aca="false">IF(C133="Gold", FLOOR(I133,1000)&amp;"-"&amp;(FLOOR(I133,1000)+1000), FLOOR(I133,20)&amp;"-"&amp;(FLOOR(I133,20)+20))</f>
        <v>80-100</v>
      </c>
    </row>
    <row r="134" customFormat="false" ht="15" hidden="false" customHeight="true" outlineLevel="0" collapsed="false">
      <c r="A134" s="12" t="n">
        <v>129</v>
      </c>
      <c r="B134" s="13" t="n">
        <v>45919</v>
      </c>
      <c r="C134" s="12" t="s">
        <v>8</v>
      </c>
      <c r="D134" s="12" t="s">
        <v>37</v>
      </c>
      <c r="E134" s="14" t="n">
        <v>15000</v>
      </c>
      <c r="F134" s="15" t="n">
        <v>14563.11</v>
      </c>
      <c r="G134" s="15" t="n">
        <v>436.89</v>
      </c>
      <c r="H134" s="16" t="n">
        <v>1.8703</v>
      </c>
      <c r="I134" s="15" t="n">
        <v>7786.33</v>
      </c>
      <c r="J134" s="12" t="str">
        <f aca="false">IF(C134="Gold", FLOOR(I134,1000)&amp;"-"&amp;(FLOOR(I134,1000)+1000), FLOOR(I134,20)&amp;"-"&amp;(FLOOR(I134,20)+20))</f>
        <v>7000-8000</v>
      </c>
    </row>
    <row r="135" customFormat="false" ht="15" hidden="false" customHeight="true" outlineLevel="0" collapsed="false">
      <c r="A135" s="12" t="n">
        <v>130</v>
      </c>
      <c r="B135" s="13" t="n">
        <v>45923</v>
      </c>
      <c r="C135" s="12" t="s">
        <v>9</v>
      </c>
      <c r="D135" s="12" t="s">
        <v>37</v>
      </c>
      <c r="E135" s="14" t="n">
        <v>8000</v>
      </c>
      <c r="F135" s="15" t="n">
        <v>7766.99</v>
      </c>
      <c r="G135" s="15" t="n">
        <v>233.01</v>
      </c>
      <c r="H135" s="16" t="n">
        <v>80.1464</v>
      </c>
      <c r="I135" s="15" t="n">
        <v>96.91</v>
      </c>
      <c r="J135" s="12" t="str">
        <f aca="false">IF(C135="Gold", FLOOR(I135,1000)&amp;"-"&amp;(FLOOR(I135,1000)+1000), FLOOR(I135,20)&amp;"-"&amp;(FLOOR(I135,20)+20))</f>
        <v>80-100</v>
      </c>
    </row>
    <row r="136" customFormat="false" ht="15" hidden="false" customHeight="true" outlineLevel="0" collapsed="false">
      <c r="A136" s="12" t="n">
        <v>131</v>
      </c>
      <c r="B136" s="13" t="n">
        <v>45924</v>
      </c>
      <c r="C136" s="12" t="s">
        <v>8</v>
      </c>
      <c r="D136" s="12" t="s">
        <v>36</v>
      </c>
      <c r="E136" s="14" t="n">
        <v>10000</v>
      </c>
      <c r="F136" s="15" t="n">
        <v>9708.74</v>
      </c>
      <c r="G136" s="15" t="n">
        <v>291.26</v>
      </c>
      <c r="H136" s="16" t="n">
        <v>1.2096</v>
      </c>
      <c r="I136" s="15" t="n">
        <v>8026.14</v>
      </c>
      <c r="J136" s="12" t="str">
        <f aca="false">IF(C136="Gold", FLOOR(I136,1000)&amp;"-"&amp;(FLOOR(I136,1000)+1000), FLOOR(I136,20)&amp;"-"&amp;(FLOOR(I136,20)+20))</f>
        <v>8000-9000</v>
      </c>
    </row>
    <row r="137" customFormat="false" ht="15" hidden="false" customHeight="true" outlineLevel="0" collapsed="false">
      <c r="A137" s="12" t="n">
        <v>132</v>
      </c>
      <c r="B137" s="13" t="n">
        <v>45929</v>
      </c>
      <c r="C137" s="12" t="s">
        <v>9</v>
      </c>
      <c r="D137" s="12" t="s">
        <v>36</v>
      </c>
      <c r="E137" s="14" t="n">
        <v>8000</v>
      </c>
      <c r="F137" s="15" t="n">
        <v>7766.99</v>
      </c>
      <c r="G137" s="15" t="n">
        <v>233.01</v>
      </c>
      <c r="H137" s="16" t="n">
        <v>79.9814</v>
      </c>
      <c r="I137" s="15" t="n">
        <v>97.11</v>
      </c>
      <c r="J137" s="12" t="str">
        <f aca="false">IF(C137="Gold", FLOOR(I137,1000)&amp;"-"&amp;(FLOOR(I137,1000)+1000), FLOOR(I137,20)&amp;"-"&amp;(FLOOR(I137,20)+20))</f>
        <v>80-100</v>
      </c>
    </row>
    <row r="138" customFormat="false" ht="15" hidden="false" customHeight="true" outlineLevel="0" collapsed="false">
      <c r="A138" s="12" t="n">
        <v>133</v>
      </c>
      <c r="B138" s="13" t="n">
        <v>45938</v>
      </c>
      <c r="C138" s="12" t="s">
        <v>8</v>
      </c>
      <c r="D138" s="12" t="s">
        <v>38</v>
      </c>
      <c r="E138" s="14" t="n">
        <v>12000</v>
      </c>
      <c r="F138" s="15" t="n">
        <v>11650.49</v>
      </c>
      <c r="G138" s="15" t="n">
        <v>349.51</v>
      </c>
      <c r="H138" s="16" t="n">
        <v>1.4825</v>
      </c>
      <c r="I138" s="15" t="n">
        <v>7858.58</v>
      </c>
      <c r="J138" s="12" t="str">
        <f aca="false">IF(C138="Gold", FLOOR(I138,1000)&amp;"-"&amp;(FLOOR(I138,1000)+1000), FLOOR(I138,20)&amp;"-"&amp;(FLOOR(I138,20)+20))</f>
        <v>7000-8000</v>
      </c>
    </row>
    <row r="139" customFormat="false" ht="15" hidden="false" customHeight="true" outlineLevel="0" collapsed="false">
      <c r="A139" s="12" t="n">
        <v>134</v>
      </c>
      <c r="B139" s="13" t="n">
        <v>45942</v>
      </c>
      <c r="C139" s="12" t="s">
        <v>9</v>
      </c>
      <c r="D139" s="12" t="s">
        <v>38</v>
      </c>
      <c r="E139" s="14" t="n">
        <v>20000</v>
      </c>
      <c r="F139" s="15" t="n">
        <v>19417.48</v>
      </c>
      <c r="G139" s="15" t="n">
        <v>582.52</v>
      </c>
      <c r="H139" s="16" t="n">
        <v>205.042</v>
      </c>
      <c r="I139" s="15" t="n">
        <v>94.7</v>
      </c>
      <c r="J139" s="12" t="str">
        <f aca="false">IF(C139="Gold", FLOOR(I139,1000)&amp;"-"&amp;(FLOOR(I139,1000)+1000), FLOOR(I139,20)&amp;"-"&amp;(FLOOR(I139,20)+20))</f>
        <v>80-100</v>
      </c>
    </row>
    <row r="140" customFormat="false" ht="15" hidden="false" customHeight="true" outlineLevel="0" collapsed="false">
      <c r="A140" s="12" t="n">
        <v>135</v>
      </c>
      <c r="B140" s="13" t="n">
        <v>45942</v>
      </c>
      <c r="C140" s="12" t="s">
        <v>8</v>
      </c>
      <c r="D140" s="12" t="s">
        <v>38</v>
      </c>
      <c r="E140" s="14" t="n">
        <v>20000</v>
      </c>
      <c r="F140" s="15" t="n">
        <v>19417.48</v>
      </c>
      <c r="G140" s="15" t="n">
        <v>582.52</v>
      </c>
      <c r="H140" s="16" t="n">
        <v>2.4055</v>
      </c>
      <c r="I140" s="15" t="n">
        <v>8071.96</v>
      </c>
      <c r="J140" s="12" t="str">
        <f aca="false">IF(C140="Gold", FLOOR(I140,1000)&amp;"-"&amp;(FLOOR(I140,1000)+1000), FLOOR(I140,20)&amp;"-"&amp;(FLOOR(I140,20)+20))</f>
        <v>8000-9000</v>
      </c>
    </row>
    <row r="141" customFormat="false" ht="15" hidden="false" customHeight="true" outlineLevel="0" collapsed="false">
      <c r="A141" s="12" t="n">
        <v>136</v>
      </c>
      <c r="B141" s="13" t="n">
        <v>45954</v>
      </c>
      <c r="C141" s="12" t="s">
        <v>9</v>
      </c>
      <c r="D141" s="12" t="s">
        <v>37</v>
      </c>
      <c r="E141" s="14" t="n">
        <v>2000</v>
      </c>
      <c r="F141" s="15" t="n">
        <v>1941.75</v>
      </c>
      <c r="G141" s="15" t="n">
        <v>58.25</v>
      </c>
      <c r="H141" s="16" t="n">
        <v>19.21</v>
      </c>
      <c r="I141" s="15" t="n">
        <v>101.08</v>
      </c>
      <c r="J141" s="12" t="str">
        <f aca="false">IF(C141="Gold", FLOOR(I141,1000)&amp;"-"&amp;(FLOOR(I141,1000)+1000), FLOOR(I141,20)&amp;"-"&amp;(FLOOR(I141,20)+20))</f>
        <v>100-120</v>
      </c>
    </row>
    <row r="142" customFormat="false" ht="15" hidden="false" customHeight="true" outlineLevel="0" collapsed="false">
      <c r="A142" s="12" t="n">
        <v>137</v>
      </c>
      <c r="B142" s="13" t="n">
        <v>45954</v>
      </c>
      <c r="C142" s="12" t="s">
        <v>8</v>
      </c>
      <c r="D142" s="12" t="s">
        <v>36</v>
      </c>
      <c r="E142" s="14" t="n">
        <v>2500</v>
      </c>
      <c r="F142" s="15" t="n">
        <v>2427.18</v>
      </c>
      <c r="G142" s="15" t="n">
        <v>72.82</v>
      </c>
      <c r="H142" s="16" t="n">
        <v>0.2989</v>
      </c>
      <c r="I142" s="15" t="n">
        <v>8120</v>
      </c>
      <c r="J142" s="12" t="str">
        <f aca="false">IF(C142="Gold", FLOOR(I142,1000)&amp;"-"&amp;(FLOOR(I142,1000)+1000), FLOOR(I142,20)&amp;"-"&amp;(FLOOR(I142,20)+20))</f>
        <v>8000-9000</v>
      </c>
    </row>
    <row r="143" customFormat="false" ht="15" hidden="false" customHeight="true" outlineLevel="0" collapsed="false">
      <c r="A143" s="12" t="n">
        <v>138</v>
      </c>
      <c r="B143" s="13" t="n">
        <v>45961</v>
      </c>
      <c r="C143" s="12" t="s">
        <v>9</v>
      </c>
      <c r="D143" s="12" t="s">
        <v>36</v>
      </c>
      <c r="E143" s="14" t="n">
        <v>7500</v>
      </c>
      <c r="F143" s="15" t="n">
        <v>7281.55</v>
      </c>
      <c r="G143" s="15" t="n">
        <v>218.45</v>
      </c>
      <c r="H143" s="16" t="n">
        <v>78.465</v>
      </c>
      <c r="I143" s="15" t="n">
        <v>92.8</v>
      </c>
      <c r="J143" s="12" t="str">
        <f aca="false">IF(C143="Gold", FLOOR(I143,1000)&amp;"-"&amp;(FLOOR(I143,1000)+1000), FLOOR(I143,20)&amp;"-"&amp;(FLOOR(I143,20)+20))</f>
        <v>80-100</v>
      </c>
    </row>
    <row r="144" customFormat="false" ht="15" hidden="false" customHeight="true" outlineLevel="0" collapsed="false">
      <c r="A144" s="12" t="n">
        <v>139</v>
      </c>
      <c r="B144" s="13" t="n">
        <v>45967</v>
      </c>
      <c r="C144" s="12" t="s">
        <v>8</v>
      </c>
      <c r="D144" s="12" t="s">
        <v>37</v>
      </c>
      <c r="E144" s="14" t="n">
        <v>7500</v>
      </c>
      <c r="F144" s="15" t="n">
        <v>7281.55</v>
      </c>
      <c r="G144" s="15" t="n">
        <v>218.45</v>
      </c>
      <c r="H144" s="16" t="n">
        <v>0.9163</v>
      </c>
      <c r="I144" s="15" t="n">
        <v>7946.81</v>
      </c>
      <c r="J144" s="12" t="str">
        <f aca="false">IF(C144="Gold", FLOOR(I144,1000)&amp;"-"&amp;(FLOOR(I144,1000)+1000), FLOOR(I144,20)&amp;"-"&amp;(FLOOR(I144,20)+20))</f>
        <v>7000-8000</v>
      </c>
    </row>
    <row r="145" customFormat="false" ht="15" hidden="false" customHeight="true" outlineLevel="0" collapsed="false">
      <c r="A145" s="12" t="n">
        <v>140</v>
      </c>
      <c r="B145" s="13" t="n">
        <v>45972</v>
      </c>
      <c r="C145" s="12" t="s">
        <v>8</v>
      </c>
      <c r="D145" s="12" t="s">
        <v>38</v>
      </c>
      <c r="E145" s="14" t="n">
        <v>5000</v>
      </c>
      <c r="F145" s="15" t="n">
        <v>4854.37</v>
      </c>
      <c r="G145" s="15" t="n">
        <v>145.63</v>
      </c>
      <c r="H145" s="16" t="n">
        <v>0.5856</v>
      </c>
      <c r="I145" s="15" t="n">
        <v>8289.09</v>
      </c>
      <c r="J145" s="12" t="str">
        <f aca="false">IF(C145="Gold", FLOOR(I145,1000)&amp;"-"&amp;(FLOOR(I145,1000)+1000), FLOOR(I145,20)&amp;"-"&amp;(FLOOR(I145,20)+20))</f>
        <v>8000-9000</v>
      </c>
    </row>
    <row r="146" customFormat="false" ht="15" hidden="false" customHeight="true" outlineLevel="0" collapsed="false">
      <c r="A146" s="12" t="n">
        <v>141</v>
      </c>
      <c r="B146" s="13" t="n">
        <v>45977</v>
      </c>
      <c r="C146" s="12" t="s">
        <v>8</v>
      </c>
      <c r="D146" s="12" t="s">
        <v>36</v>
      </c>
      <c r="E146" s="14" t="n">
        <v>8000</v>
      </c>
      <c r="F146" s="15" t="n">
        <v>7766.99</v>
      </c>
      <c r="G146" s="15" t="n">
        <v>233.01</v>
      </c>
      <c r="H146" s="16" t="n">
        <v>0.9749</v>
      </c>
      <c r="I146" s="15" t="n">
        <v>7967.36</v>
      </c>
      <c r="J146" s="12" t="str">
        <f aca="false">IF(C146="Gold", FLOOR(I146,1000)&amp;"-"&amp;(FLOOR(I146,1000)+1000), FLOOR(I146,20)&amp;"-"&amp;(FLOOR(I146,20)+20))</f>
        <v>7000-8000</v>
      </c>
    </row>
    <row r="147" customFormat="false" ht="15" hidden="false" customHeight="true" outlineLevel="0" collapsed="false">
      <c r="A147" s="12" t="n">
        <v>142</v>
      </c>
      <c r="B147" s="13" t="n">
        <v>45979</v>
      </c>
      <c r="C147" s="12" t="s">
        <v>9</v>
      </c>
      <c r="D147" s="12" t="s">
        <v>36</v>
      </c>
      <c r="E147" s="14" t="n">
        <v>2000</v>
      </c>
      <c r="F147" s="15" t="n">
        <v>1941.75</v>
      </c>
      <c r="G147" s="15" t="n">
        <v>58.25</v>
      </c>
      <c r="H147" s="16" t="n">
        <v>18.9254</v>
      </c>
      <c r="I147" s="15" t="n">
        <v>102.6</v>
      </c>
      <c r="J147" s="12" t="str">
        <f aca="false">IF(C147="Gold", FLOOR(I147,1000)&amp;"-"&amp;(FLOOR(I147,1000)+1000), FLOOR(I147,20)&amp;"-"&amp;(FLOOR(I147,20)+20))</f>
        <v>100-120</v>
      </c>
    </row>
    <row r="148" customFormat="false" ht="15" hidden="false" customHeight="true" outlineLevel="0" collapsed="false">
      <c r="A148" s="12" t="n">
        <v>143</v>
      </c>
      <c r="B148" s="13" t="n">
        <v>45994</v>
      </c>
      <c r="C148" s="12" t="s">
        <v>8</v>
      </c>
      <c r="D148" s="12" t="s">
        <v>38</v>
      </c>
      <c r="E148" s="14" t="n">
        <v>18000</v>
      </c>
      <c r="F148" s="15" t="n">
        <v>17475.73</v>
      </c>
      <c r="G148" s="15" t="n">
        <v>524.27</v>
      </c>
      <c r="H148" s="16" t="n">
        <v>2.0989</v>
      </c>
      <c r="I148" s="15" t="n">
        <v>8326.27</v>
      </c>
      <c r="J148" s="12" t="str">
        <f aca="false">IF(C148="Gold", FLOOR(I148,1000)&amp;"-"&amp;(FLOOR(I148,1000)+1000), FLOOR(I148,20)&amp;"-"&amp;(FLOOR(I148,20)+20))</f>
        <v>8000-9000</v>
      </c>
    </row>
    <row r="149" customFormat="false" ht="15" hidden="false" customHeight="true" outlineLevel="0" collapsed="false">
      <c r="A149" s="12" t="n">
        <v>144</v>
      </c>
      <c r="B149" s="13" t="n">
        <v>46003</v>
      </c>
      <c r="C149" s="12" t="s">
        <v>9</v>
      </c>
      <c r="D149" s="12" t="s">
        <v>38</v>
      </c>
      <c r="E149" s="14" t="n">
        <v>30000</v>
      </c>
      <c r="F149" s="15" t="n">
        <v>29126.21</v>
      </c>
      <c r="G149" s="15" t="n">
        <v>873.79</v>
      </c>
      <c r="H149" s="16" t="n">
        <v>289.3524</v>
      </c>
      <c r="I149" s="15" t="n">
        <v>100.66</v>
      </c>
      <c r="J149" s="12" t="str">
        <f aca="false">IF(C149="Gold", FLOOR(I149,1000)&amp;"-"&amp;(FLOOR(I149,1000)+1000), FLOOR(I149,20)&amp;"-"&amp;(FLOOR(I149,20)+20))</f>
        <v>100-120</v>
      </c>
    </row>
    <row r="150" customFormat="false" ht="15" hidden="false" customHeight="true" outlineLevel="0" collapsed="false">
      <c r="A150" s="12" t="n">
        <v>145</v>
      </c>
      <c r="B150" s="13" t="n">
        <v>46005</v>
      </c>
      <c r="C150" s="12" t="s">
        <v>8</v>
      </c>
      <c r="D150" s="12" t="s">
        <v>37</v>
      </c>
      <c r="E150" s="14" t="n">
        <v>8000</v>
      </c>
      <c r="F150" s="15" t="n">
        <v>7766.99</v>
      </c>
      <c r="G150" s="15" t="n">
        <v>233.01</v>
      </c>
      <c r="H150" s="16" t="n">
        <v>0.9371</v>
      </c>
      <c r="I150" s="15" t="n">
        <v>8287.94</v>
      </c>
      <c r="J150" s="12" t="str">
        <f aca="false">IF(C150="Gold", FLOOR(I150,1000)&amp;"-"&amp;(FLOOR(I150,1000)+1000), FLOOR(I150,20)&amp;"-"&amp;(FLOOR(I150,20)+20))</f>
        <v>8000-9000</v>
      </c>
    </row>
    <row r="151" customFormat="false" ht="15" hidden="false" customHeight="true" outlineLevel="0" collapsed="false">
      <c r="A151" s="12" t="n">
        <v>146</v>
      </c>
      <c r="B151" s="13" t="n">
        <v>46011</v>
      </c>
      <c r="C151" s="12" t="s">
        <v>9</v>
      </c>
      <c r="D151" s="12" t="s">
        <v>36</v>
      </c>
      <c r="E151" s="14" t="n">
        <v>20000</v>
      </c>
      <c r="F151" s="15" t="n">
        <v>19417.48</v>
      </c>
      <c r="G151" s="15" t="n">
        <v>582.52</v>
      </c>
      <c r="H151" s="16" t="n">
        <v>187.6085</v>
      </c>
      <c r="I151" s="15" t="n">
        <v>103.5</v>
      </c>
      <c r="J151" s="12" t="str">
        <f aca="false">IF(C151="Gold", FLOOR(I151,1000)&amp;"-"&amp;(FLOOR(I151,1000)+1000), FLOOR(I151,20)&amp;"-"&amp;(FLOOR(I151,20)+20))</f>
        <v>100-120</v>
      </c>
    </row>
    <row r="152" customFormat="false" ht="15" hidden="false" customHeight="true" outlineLevel="0" collapsed="false">
      <c r="A152" s="12" t="n">
        <v>147</v>
      </c>
      <c r="B152" s="13" t="n">
        <v>46032</v>
      </c>
      <c r="C152" s="12" t="s">
        <v>8</v>
      </c>
      <c r="D152" s="12" t="s">
        <v>36</v>
      </c>
      <c r="E152" s="14" t="n">
        <v>25000</v>
      </c>
      <c r="F152" s="15" t="n">
        <v>24271.84</v>
      </c>
      <c r="G152" s="15" t="n">
        <v>728.16</v>
      </c>
      <c r="H152" s="16" t="n">
        <v>2.8969</v>
      </c>
      <c r="I152" s="15" t="n">
        <v>8378.42</v>
      </c>
      <c r="J152" s="12" t="str">
        <f aca="false">IF(C152="Gold", FLOOR(I152,1000)&amp;"-"&amp;(FLOOR(I152,1000)+1000), FLOOR(I152,20)&amp;"-"&amp;(FLOOR(I152,20)+20))</f>
        <v>8000-9000</v>
      </c>
    </row>
    <row r="153" customFormat="false" ht="15" hidden="false" customHeight="true" outlineLevel="0" collapsed="false">
      <c r="A153" s="12" t="n">
        <v>148</v>
      </c>
      <c r="B153" s="13" t="n">
        <v>46037</v>
      </c>
      <c r="C153" s="12" t="s">
        <v>9</v>
      </c>
      <c r="D153" s="12" t="s">
        <v>38</v>
      </c>
      <c r="E153" s="14" t="n">
        <v>2000</v>
      </c>
      <c r="F153" s="15" t="n">
        <v>1941.75</v>
      </c>
      <c r="G153" s="15" t="n">
        <v>58.25</v>
      </c>
      <c r="H153" s="16" t="n">
        <v>18.5831</v>
      </c>
      <c r="I153" s="15" t="n">
        <v>104.49</v>
      </c>
      <c r="J153" s="12" t="str">
        <f aca="false">IF(C153="Gold", FLOOR(I153,1000)&amp;"-"&amp;(FLOOR(I153,1000)+1000), FLOOR(I153,20)&amp;"-"&amp;(FLOOR(I153,20)+20))</f>
        <v>100-120</v>
      </c>
    </row>
    <row r="154" customFormat="false" ht="15" hidden="false" customHeight="true" outlineLevel="0" collapsed="false">
      <c r="A154" s="12" t="n">
        <v>149</v>
      </c>
      <c r="B154" s="13" t="n">
        <v>46044</v>
      </c>
      <c r="C154" s="12" t="s">
        <v>9</v>
      </c>
      <c r="D154" s="12" t="s">
        <v>38</v>
      </c>
      <c r="E154" s="14" t="n">
        <v>10000</v>
      </c>
      <c r="F154" s="15" t="n">
        <v>9708.74</v>
      </c>
      <c r="G154" s="15" t="n">
        <v>291.26</v>
      </c>
      <c r="H154" s="16" t="n">
        <v>93.2367</v>
      </c>
      <c r="I154" s="15" t="n">
        <v>104.13</v>
      </c>
      <c r="J154" s="12" t="str">
        <f aca="false">IF(C154="Gold", FLOOR(I154,1000)&amp;"-"&amp;(FLOOR(I154,1000)+1000), FLOOR(I154,20)&amp;"-"&amp;(FLOOR(I154,20)+20))</f>
        <v>100-120</v>
      </c>
    </row>
    <row r="155" customFormat="false" ht="15" hidden="false" customHeight="true" outlineLevel="0" collapsed="false">
      <c r="A155" s="12" t="n">
        <v>150</v>
      </c>
      <c r="B155" s="13" t="n">
        <v>46053</v>
      </c>
      <c r="C155" s="12" t="s">
        <v>8</v>
      </c>
      <c r="D155" s="12" t="s">
        <v>38</v>
      </c>
      <c r="E155" s="14" t="n">
        <v>6000</v>
      </c>
      <c r="F155" s="15" t="n">
        <v>5825.24</v>
      </c>
      <c r="G155" s="15" t="n">
        <v>174.76</v>
      </c>
      <c r="H155" s="16" t="n">
        <v>0.6737</v>
      </c>
      <c r="I155" s="15" t="n">
        <v>8646.44</v>
      </c>
      <c r="J155" s="12" t="str">
        <f aca="false">IF(C155="Gold", FLOOR(I155,1000)&amp;"-"&amp;(FLOOR(I155,1000)+1000), FLOOR(I155,20)&amp;"-"&amp;(FLOOR(I155,20)+20))</f>
        <v>8000-9000</v>
      </c>
    </row>
    <row r="156" customFormat="false" ht="15" hidden="false" customHeight="true" outlineLevel="0" collapsed="false">
      <c r="A156" s="12" t="n">
        <v>151</v>
      </c>
      <c r="B156" s="13" t="n">
        <v>46061</v>
      </c>
      <c r="C156" s="12" t="s">
        <v>9</v>
      </c>
      <c r="D156" s="12" t="s">
        <v>37</v>
      </c>
      <c r="E156" s="14" t="n">
        <v>30000</v>
      </c>
      <c r="F156" s="15" t="n">
        <v>29126.21</v>
      </c>
      <c r="G156" s="15" t="n">
        <v>873.79</v>
      </c>
      <c r="H156" s="16" t="n">
        <v>283.4668</v>
      </c>
      <c r="I156" s="15" t="n">
        <v>102.75</v>
      </c>
      <c r="J156" s="12" t="str">
        <f aca="false">IF(C156="Gold", FLOOR(I156,1000)&amp;"-"&amp;(FLOOR(I156,1000)+1000), FLOOR(I156,20)&amp;"-"&amp;(FLOOR(I156,20)+20))</f>
        <v>100-120</v>
      </c>
    </row>
    <row r="157" customFormat="false" ht="15" hidden="false" customHeight="true" outlineLevel="0" collapsed="false">
      <c r="A157" s="12" t="n">
        <v>152</v>
      </c>
      <c r="B157" s="13" t="n">
        <v>46064</v>
      </c>
      <c r="C157" s="12" t="s">
        <v>8</v>
      </c>
      <c r="D157" s="12" t="s">
        <v>37</v>
      </c>
      <c r="E157" s="14" t="n">
        <v>5000</v>
      </c>
      <c r="F157" s="15" t="n">
        <v>4854.37</v>
      </c>
      <c r="G157" s="15" t="n">
        <v>145.63</v>
      </c>
      <c r="H157" s="16" t="n">
        <v>0.5619</v>
      </c>
      <c r="I157" s="15" t="n">
        <v>8638.44</v>
      </c>
      <c r="J157" s="12" t="str">
        <f aca="false">IF(C157="Gold", FLOOR(I157,1000)&amp;"-"&amp;(FLOOR(I157,1000)+1000), FLOOR(I157,20)&amp;"-"&amp;(FLOOR(I157,20)+20))</f>
        <v>8000-9000</v>
      </c>
    </row>
    <row r="158" customFormat="false" ht="15" hidden="false" customHeight="true" outlineLevel="0" collapsed="false">
      <c r="A158" s="12" t="n">
        <v>153</v>
      </c>
      <c r="B158" s="13" t="n">
        <v>46066</v>
      </c>
      <c r="C158" s="12" t="s">
        <v>8</v>
      </c>
      <c r="D158" s="12" t="s">
        <v>36</v>
      </c>
      <c r="E158" s="14" t="n">
        <v>20000</v>
      </c>
      <c r="F158" s="15" t="n">
        <v>19417.48</v>
      </c>
      <c r="G158" s="15" t="n">
        <v>582.52</v>
      </c>
      <c r="H158" s="16" t="n">
        <v>2.3377</v>
      </c>
      <c r="I158" s="15" t="n">
        <v>8306.28</v>
      </c>
      <c r="J158" s="12" t="str">
        <f aca="false">IF(C158="Gold", FLOOR(I158,1000)&amp;"-"&amp;(FLOOR(I158,1000)+1000), FLOOR(I158,20)&amp;"-"&amp;(FLOOR(I158,20)+20))</f>
        <v>8000-9000</v>
      </c>
    </row>
    <row r="159" customFormat="false" ht="15" hidden="false" customHeight="true" outlineLevel="0" collapsed="false">
      <c r="A159" s="12" t="n">
        <v>154</v>
      </c>
      <c r="B159" s="13" t="n">
        <v>46072</v>
      </c>
      <c r="C159" s="12" t="s">
        <v>9</v>
      </c>
      <c r="D159" s="12" t="s">
        <v>36</v>
      </c>
      <c r="E159" s="14" t="n">
        <v>15000</v>
      </c>
      <c r="F159" s="15" t="n">
        <v>14563.11</v>
      </c>
      <c r="G159" s="15" t="n">
        <v>436.89</v>
      </c>
      <c r="H159" s="16" t="n">
        <v>139.1203</v>
      </c>
      <c r="I159" s="15" t="n">
        <v>104.68</v>
      </c>
      <c r="J159" s="12" t="str">
        <f aca="false">IF(C159="Gold", FLOOR(I159,1000)&amp;"-"&amp;(FLOOR(I159,1000)+1000), FLOOR(I159,20)&amp;"-"&amp;(FLOOR(I159,20)+20))</f>
        <v>100-120</v>
      </c>
    </row>
    <row r="160" customFormat="false" ht="15" hidden="false" customHeight="true" outlineLevel="0" collapsed="false">
      <c r="A160" s="12" t="n">
        <v>155</v>
      </c>
      <c r="B160" s="13" t="n">
        <v>46079</v>
      </c>
      <c r="C160" s="12" t="s">
        <v>9</v>
      </c>
      <c r="D160" s="12" t="s">
        <v>37</v>
      </c>
      <c r="E160" s="14" t="n">
        <v>1500</v>
      </c>
      <c r="F160" s="15" t="n">
        <v>1456.31</v>
      </c>
      <c r="G160" s="15" t="n">
        <v>43.69</v>
      </c>
      <c r="H160" s="16" t="n">
        <v>14.9442</v>
      </c>
      <c r="I160" s="15" t="n">
        <v>97.45</v>
      </c>
      <c r="J160" s="12" t="str">
        <f aca="false">IF(C160="Gold", FLOOR(I160,1000)&amp;"-"&amp;(FLOOR(I160,1000)+1000), FLOOR(I160,20)&amp;"-"&amp;(FLOOR(I160,20)+20))</f>
        <v>80-100</v>
      </c>
    </row>
    <row r="161" customFormat="false" ht="15" hidden="false" customHeight="true" outlineLevel="0" collapsed="false">
      <c r="A161" s="12" t="n">
        <v>156</v>
      </c>
      <c r="B161" s="13" t="n">
        <v>46081</v>
      </c>
      <c r="C161" s="12" t="s">
        <v>8</v>
      </c>
      <c r="D161" s="12" t="s">
        <v>37</v>
      </c>
      <c r="E161" s="14" t="n">
        <v>20000</v>
      </c>
      <c r="F161" s="15" t="n">
        <v>19417.48</v>
      </c>
      <c r="G161" s="15" t="n">
        <v>582.52</v>
      </c>
      <c r="H161" s="16" t="n">
        <v>2.2846</v>
      </c>
      <c r="I161" s="15" t="n">
        <v>8499.35</v>
      </c>
      <c r="J161" s="12" t="str">
        <f aca="false">IF(C161="Gold", FLOOR(I161,1000)&amp;"-"&amp;(FLOOR(I161,1000)+1000), FLOOR(I161,20)&amp;"-"&amp;(FLOOR(I161,20)+20))</f>
        <v>8000-9000</v>
      </c>
    </row>
    <row r="162" customFormat="false" ht="15" hidden="false" customHeight="true" outlineLevel="0" collapsed="false">
      <c r="A162" s="12" t="n">
        <v>157</v>
      </c>
      <c r="B162" s="13" t="n">
        <v>46082</v>
      </c>
      <c r="C162" s="12" t="s">
        <v>8</v>
      </c>
      <c r="D162" s="12" t="s">
        <v>36</v>
      </c>
      <c r="E162" s="14" t="n">
        <v>12000</v>
      </c>
      <c r="F162" s="15" t="n">
        <v>11650.49</v>
      </c>
      <c r="G162" s="15" t="n">
        <v>349.51</v>
      </c>
      <c r="H162" s="16" t="n">
        <v>1.3636</v>
      </c>
      <c r="I162" s="15" t="n">
        <v>8544.15</v>
      </c>
      <c r="J162" s="12" t="str">
        <f aca="false">IF(C162="Gold", FLOOR(I162,1000)&amp;"-"&amp;(FLOOR(I162,1000)+1000), FLOOR(I162,20)&amp;"-"&amp;(FLOOR(I162,20)+20))</f>
        <v>8000-9000</v>
      </c>
    </row>
    <row r="163" customFormat="false" ht="15" hidden="false" customHeight="true" outlineLevel="0" collapsed="false">
      <c r="A163" s="12" t="n">
        <v>158</v>
      </c>
      <c r="B163" s="13" t="n">
        <v>46087</v>
      </c>
      <c r="C163" s="12" t="s">
        <v>8</v>
      </c>
      <c r="D163" s="12" t="s">
        <v>37</v>
      </c>
      <c r="E163" s="14" t="n">
        <v>30000</v>
      </c>
      <c r="F163" s="15" t="n">
        <v>29126.21</v>
      </c>
      <c r="G163" s="15" t="n">
        <v>873.79</v>
      </c>
      <c r="H163" s="16" t="n">
        <v>3.3168</v>
      </c>
      <c r="I163" s="15" t="n">
        <v>8781.5</v>
      </c>
      <c r="J163" s="12" t="str">
        <f aca="false">IF(C163="Gold", FLOOR(I163,1000)&amp;"-"&amp;(FLOOR(I163,1000)+1000), FLOOR(I163,20)&amp;"-"&amp;(FLOOR(I163,20)+20))</f>
        <v>8000-9000</v>
      </c>
    </row>
    <row r="164" customFormat="false" ht="15" hidden="false" customHeight="true" outlineLevel="0" collapsed="false">
      <c r="A164" s="12" t="n">
        <v>159</v>
      </c>
      <c r="B164" s="13" t="n">
        <v>46093</v>
      </c>
      <c r="C164" s="12" t="s">
        <v>9</v>
      </c>
      <c r="D164" s="12" t="s">
        <v>38</v>
      </c>
      <c r="E164" s="14" t="n">
        <v>10000</v>
      </c>
      <c r="F164" s="15" t="n">
        <v>9708.74</v>
      </c>
      <c r="G164" s="15" t="n">
        <v>291.26</v>
      </c>
      <c r="H164" s="16" t="n">
        <v>91.2047</v>
      </c>
      <c r="I164" s="15" t="n">
        <v>106.45</v>
      </c>
      <c r="J164" s="12" t="str">
        <f aca="false">IF(C164="Gold", FLOOR(I164,1000)&amp;"-"&amp;(FLOOR(I164,1000)+1000), FLOOR(I164,20)&amp;"-"&amp;(FLOOR(I164,20)+20))</f>
        <v>100-120</v>
      </c>
    </row>
    <row r="165" customFormat="false" ht="15" hidden="false" customHeight="true" outlineLevel="0" collapsed="false">
      <c r="A165" s="12" t="n">
        <v>160</v>
      </c>
      <c r="B165" s="13" t="n">
        <v>46105</v>
      </c>
      <c r="C165" s="12" t="s">
        <v>9</v>
      </c>
      <c r="D165" s="12" t="s">
        <v>36</v>
      </c>
      <c r="E165" s="14" t="n">
        <v>2500</v>
      </c>
      <c r="F165" s="15" t="n">
        <v>2427.18</v>
      </c>
      <c r="G165" s="15" t="n">
        <v>72.82</v>
      </c>
      <c r="H165" s="16" t="n">
        <v>22.4885</v>
      </c>
      <c r="I165" s="15" t="n">
        <v>107.93</v>
      </c>
      <c r="J165" s="12" t="str">
        <f aca="false">IF(C165="Gold", FLOOR(I165,1000)&amp;"-"&amp;(FLOOR(I165,1000)+1000), FLOOR(I165,20)&amp;"-"&amp;(FLOOR(I165,20)+20))</f>
        <v>100-120</v>
      </c>
    </row>
    <row r="166" customFormat="false" ht="15" hidden="false" customHeight="true" outlineLevel="0" collapsed="false">
      <c r="A166" s="12" t="n">
        <v>161</v>
      </c>
      <c r="B166" s="13" t="n">
        <v>46116</v>
      </c>
      <c r="C166" s="12" t="s">
        <v>9</v>
      </c>
      <c r="D166" s="12" t="s">
        <v>36</v>
      </c>
      <c r="E166" s="14" t="n">
        <v>12000</v>
      </c>
      <c r="F166" s="15" t="n">
        <v>11650.49</v>
      </c>
      <c r="G166" s="15" t="n">
        <v>349.51</v>
      </c>
      <c r="H166" s="16" t="n">
        <v>112.7721</v>
      </c>
      <c r="I166" s="15" t="n">
        <v>103.31</v>
      </c>
      <c r="J166" s="12" t="str">
        <f aca="false">IF(C166="Gold", FLOOR(I166,1000)&amp;"-"&amp;(FLOOR(I166,1000)+1000), FLOOR(I166,20)&amp;"-"&amp;(FLOOR(I166,20)+20))</f>
        <v>100-120</v>
      </c>
    </row>
    <row r="167" customFormat="false" ht="15" hidden="false" customHeight="true" outlineLevel="0" collapsed="false">
      <c r="A167" s="12" t="n">
        <v>162</v>
      </c>
      <c r="B167" s="13" t="n">
        <v>46132</v>
      </c>
      <c r="C167" s="12" t="s">
        <v>8</v>
      </c>
      <c r="D167" s="12" t="s">
        <v>37</v>
      </c>
      <c r="E167" s="14" t="n">
        <v>5000</v>
      </c>
      <c r="F167" s="15" t="n">
        <v>4854.37</v>
      </c>
      <c r="G167" s="15" t="n">
        <v>145.63</v>
      </c>
      <c r="H167" s="16" t="n">
        <v>0.5553</v>
      </c>
      <c r="I167" s="15" t="n">
        <v>8741.69</v>
      </c>
      <c r="J167" s="12" t="str">
        <f aca="false">IF(C167="Gold", FLOOR(I167,1000)&amp;"-"&amp;(FLOOR(I167,1000)+1000), FLOOR(I167,20)&amp;"-"&amp;(FLOOR(I167,20)+20))</f>
        <v>8000-9000</v>
      </c>
    </row>
    <row r="168" customFormat="false" ht="15" hidden="false" customHeight="true" outlineLevel="0" collapsed="false">
      <c r="A168" s="12" t="n">
        <v>163</v>
      </c>
      <c r="B168" s="13" t="n">
        <v>46135</v>
      </c>
      <c r="C168" s="12" t="s">
        <v>8</v>
      </c>
      <c r="D168" s="12" t="s">
        <v>36</v>
      </c>
      <c r="E168" s="14" t="n">
        <v>25000</v>
      </c>
      <c r="F168" s="15" t="n">
        <v>24271.84</v>
      </c>
      <c r="G168" s="15" t="n">
        <v>728.16</v>
      </c>
      <c r="H168" s="16" t="n">
        <v>2.7708</v>
      </c>
      <c r="I168" s="15" t="n">
        <v>8759.78</v>
      </c>
      <c r="J168" s="12" t="str">
        <f aca="false">IF(C168="Gold", FLOOR(I168,1000)&amp;"-"&amp;(FLOOR(I168,1000)+1000), FLOOR(I168,20)&amp;"-"&amp;(FLOOR(I168,20)+20))</f>
        <v>8000-9000</v>
      </c>
    </row>
    <row r="169" customFormat="false" ht="15" hidden="false" customHeight="true" outlineLevel="0" collapsed="false">
      <c r="A169" s="12" t="n">
        <v>164</v>
      </c>
      <c r="B169" s="13" t="n">
        <v>46162</v>
      </c>
      <c r="C169" s="12" t="s">
        <v>8</v>
      </c>
      <c r="D169" s="12" t="s">
        <v>37</v>
      </c>
      <c r="E169" s="14" t="n">
        <v>12000</v>
      </c>
      <c r="F169" s="15" t="n">
        <v>11650.49</v>
      </c>
      <c r="G169" s="15" t="n">
        <v>349.51</v>
      </c>
      <c r="H169" s="16" t="n">
        <v>1.3282</v>
      </c>
      <c r="I169" s="15" t="n">
        <v>8771.95</v>
      </c>
      <c r="J169" s="12" t="str">
        <f aca="false">IF(C169="Gold", FLOOR(I169,1000)&amp;"-"&amp;(FLOOR(I169,1000)+1000), FLOOR(I169,20)&amp;"-"&amp;(FLOOR(I169,20)+20))</f>
        <v>8000-9000</v>
      </c>
    </row>
    <row r="170" customFormat="false" ht="15" hidden="false" customHeight="true" outlineLevel="0" collapsed="false">
      <c r="A170" s="12" t="n">
        <v>165</v>
      </c>
      <c r="B170" s="13" t="n">
        <v>46169</v>
      </c>
      <c r="C170" s="12" t="s">
        <v>9</v>
      </c>
      <c r="D170" s="12" t="s">
        <v>38</v>
      </c>
      <c r="E170" s="14" t="n">
        <v>10000</v>
      </c>
      <c r="F170" s="15" t="n">
        <v>9708.74</v>
      </c>
      <c r="G170" s="15" t="n">
        <v>291.26</v>
      </c>
      <c r="H170" s="16" t="n">
        <v>88.3255</v>
      </c>
      <c r="I170" s="15" t="n">
        <v>109.92</v>
      </c>
      <c r="J170" s="12" t="str">
        <f aca="false">IF(C170="Gold", FLOOR(I170,1000)&amp;"-"&amp;(FLOOR(I170,1000)+1000), FLOOR(I170,20)&amp;"-"&amp;(FLOOR(I170,20)+20))</f>
        <v>100-120</v>
      </c>
    </row>
    <row r="171" customFormat="false" ht="15" hidden="false" customHeight="true" outlineLevel="0" collapsed="false">
      <c r="A171" s="12" t="n">
        <v>166</v>
      </c>
      <c r="B171" s="13" t="n">
        <v>46170</v>
      </c>
      <c r="C171" s="12" t="s">
        <v>8</v>
      </c>
      <c r="D171" s="12" t="s">
        <v>38</v>
      </c>
      <c r="E171" s="14" t="n">
        <v>1500</v>
      </c>
      <c r="F171" s="15" t="n">
        <v>1456.31</v>
      </c>
      <c r="G171" s="15" t="n">
        <v>43.69</v>
      </c>
      <c r="H171" s="16" t="n">
        <v>0.1649</v>
      </c>
      <c r="I171" s="15" t="n">
        <v>8832.46</v>
      </c>
      <c r="J171" s="12" t="str">
        <f aca="false">IF(C171="Gold", FLOOR(I171,1000)&amp;"-"&amp;(FLOOR(I171,1000)+1000), FLOOR(I171,20)&amp;"-"&amp;(FLOOR(I171,20)+20))</f>
        <v>8000-9000</v>
      </c>
    </row>
    <row r="172" customFormat="false" ht="15" hidden="false" customHeight="true" outlineLevel="0" collapsed="false">
      <c r="A172" s="12" t="n">
        <v>167</v>
      </c>
      <c r="B172" s="13" t="n">
        <v>46172</v>
      </c>
      <c r="C172" s="12" t="s">
        <v>8</v>
      </c>
      <c r="D172" s="12" t="s">
        <v>37</v>
      </c>
      <c r="E172" s="14" t="n">
        <v>3000</v>
      </c>
      <c r="F172" s="15" t="n">
        <v>2912.62</v>
      </c>
      <c r="G172" s="15" t="n">
        <v>87.38</v>
      </c>
      <c r="H172" s="16" t="n">
        <v>0.3261</v>
      </c>
      <c r="I172" s="15" t="n">
        <v>8930.6</v>
      </c>
      <c r="J172" s="12" t="str">
        <f aca="false">IF(C172="Gold", FLOOR(I172,1000)&amp;"-"&amp;(FLOOR(I172,1000)+1000), FLOOR(I172,20)&amp;"-"&amp;(FLOOR(I172,20)+20))</f>
        <v>8000-9000</v>
      </c>
    </row>
    <row r="173" customFormat="false" ht="15" hidden="false" customHeight="true" outlineLevel="0" collapsed="false">
      <c r="A173" s="12" t="n">
        <v>168</v>
      </c>
      <c r="B173" s="13" t="n">
        <v>46186</v>
      </c>
      <c r="C173" s="12" t="s">
        <v>9</v>
      </c>
      <c r="D173" s="12" t="s">
        <v>36</v>
      </c>
      <c r="E173" s="14" t="n">
        <v>5000</v>
      </c>
      <c r="F173" s="15" t="n">
        <v>4854.37</v>
      </c>
      <c r="G173" s="15" t="n">
        <v>145.63</v>
      </c>
      <c r="H173" s="16" t="n">
        <v>43.9508</v>
      </c>
      <c r="I173" s="15" t="n">
        <v>110.45</v>
      </c>
      <c r="J173" s="12" t="str">
        <f aca="false">IF(C173="Gold", FLOOR(I173,1000)&amp;"-"&amp;(FLOOR(I173,1000)+1000), FLOOR(I173,20)&amp;"-"&amp;(FLOOR(I173,20)+20))</f>
        <v>100-120</v>
      </c>
    </row>
    <row r="174" customFormat="false" ht="15" hidden="false" customHeight="true" outlineLevel="0" collapsed="false">
      <c r="A174" s="12" t="n">
        <v>169</v>
      </c>
      <c r="B174" s="13" t="n">
        <v>46188</v>
      </c>
      <c r="C174" s="12" t="s">
        <v>9</v>
      </c>
      <c r="D174" s="12" t="s">
        <v>36</v>
      </c>
      <c r="E174" s="14" t="n">
        <v>2000</v>
      </c>
      <c r="F174" s="15" t="n">
        <v>1941.75</v>
      </c>
      <c r="G174" s="15" t="n">
        <v>58.25</v>
      </c>
      <c r="H174" s="16" t="n">
        <v>17.9244</v>
      </c>
      <c r="I174" s="15" t="n">
        <v>108.33</v>
      </c>
      <c r="J174" s="12" t="str">
        <f aca="false">IF(C174="Gold", FLOOR(I174,1000)&amp;"-"&amp;(FLOOR(I174,1000)+1000), FLOOR(I174,20)&amp;"-"&amp;(FLOOR(I174,20)+20))</f>
        <v>100-120</v>
      </c>
    </row>
    <row r="175" customFormat="false" ht="15" hidden="false" customHeight="true" outlineLevel="0" collapsed="false">
      <c r="A175" s="12" t="n">
        <v>170</v>
      </c>
      <c r="B175" s="13" t="n">
        <v>46189</v>
      </c>
      <c r="C175" s="12" t="s">
        <v>9</v>
      </c>
      <c r="D175" s="12" t="s">
        <v>36</v>
      </c>
      <c r="E175" s="14" t="n">
        <v>2000</v>
      </c>
      <c r="F175" s="15" t="n">
        <v>1941.75</v>
      </c>
      <c r="G175" s="15" t="n">
        <v>58.25</v>
      </c>
      <c r="H175" s="16" t="n">
        <v>17.6362</v>
      </c>
      <c r="I175" s="15" t="n">
        <v>110.1</v>
      </c>
      <c r="J175" s="12" t="str">
        <f aca="false">IF(C175="Gold", FLOOR(I175,1000)&amp;"-"&amp;(FLOOR(I175,1000)+1000), FLOOR(I175,20)&amp;"-"&amp;(FLOOR(I175,20)+20))</f>
        <v>100-120</v>
      </c>
    </row>
    <row r="176" customFormat="false" ht="15" hidden="false" customHeight="true" outlineLevel="0" collapsed="false">
      <c r="A176" s="12" t="n">
        <v>171</v>
      </c>
      <c r="B176" s="13" t="n">
        <v>46200</v>
      </c>
      <c r="C176" s="12" t="s">
        <v>8</v>
      </c>
      <c r="D176" s="12" t="s">
        <v>38</v>
      </c>
      <c r="E176" s="14" t="n">
        <v>6000</v>
      </c>
      <c r="F176" s="15" t="n">
        <v>5825.24</v>
      </c>
      <c r="G176" s="15" t="n">
        <v>174.76</v>
      </c>
      <c r="H176" s="16" t="n">
        <v>0.6512</v>
      </c>
      <c r="I176" s="15" t="n">
        <v>8945.36</v>
      </c>
      <c r="J176" s="12" t="str">
        <f aca="false">IF(C176="Gold", FLOOR(I176,1000)&amp;"-"&amp;(FLOOR(I176,1000)+1000), FLOOR(I176,20)&amp;"-"&amp;(FLOOR(I176,20)+20))</f>
        <v>8000-9000</v>
      </c>
    </row>
    <row r="177" customFormat="false" ht="15" hidden="false" customHeight="true" outlineLevel="0" collapsed="false">
      <c r="A177" s="12" t="n">
        <v>172</v>
      </c>
      <c r="B177" s="13" t="n">
        <v>46210</v>
      </c>
      <c r="C177" s="12" t="s">
        <v>9</v>
      </c>
      <c r="D177" s="12" t="s">
        <v>37</v>
      </c>
      <c r="E177" s="14" t="n">
        <v>18000</v>
      </c>
      <c r="F177" s="15" t="n">
        <v>17475.73</v>
      </c>
      <c r="G177" s="15" t="n">
        <v>524.27</v>
      </c>
      <c r="H177" s="16" t="n">
        <v>161.9023</v>
      </c>
      <c r="I177" s="15" t="n">
        <v>107.94</v>
      </c>
      <c r="J177" s="12" t="str">
        <f aca="false">IF(C177="Gold", FLOOR(I177,1000)&amp;"-"&amp;(FLOOR(I177,1000)+1000), FLOOR(I177,20)&amp;"-"&amp;(FLOOR(I177,20)+20))</f>
        <v>100-120</v>
      </c>
    </row>
    <row r="178" customFormat="false" ht="15" hidden="false" customHeight="true" outlineLevel="0" collapsed="false">
      <c r="A178" s="12" t="n">
        <v>173</v>
      </c>
      <c r="B178" s="13" t="n">
        <v>46213</v>
      </c>
      <c r="C178" s="12" t="s">
        <v>9</v>
      </c>
      <c r="D178" s="12" t="s">
        <v>36</v>
      </c>
      <c r="E178" s="14" t="n">
        <v>30000</v>
      </c>
      <c r="F178" s="15" t="n">
        <v>29126.21</v>
      </c>
      <c r="G178" s="15" t="n">
        <v>873.79</v>
      </c>
      <c r="H178" s="16" t="n">
        <v>281.3039</v>
      </c>
      <c r="I178" s="15" t="n">
        <v>103.54</v>
      </c>
      <c r="J178" s="12" t="str">
        <f aca="false">IF(C178="Gold", FLOOR(I178,1000)&amp;"-"&amp;(FLOOR(I178,1000)+1000), FLOOR(I178,20)&amp;"-"&amp;(FLOOR(I178,20)+20))</f>
        <v>100-120</v>
      </c>
    </row>
    <row r="179" customFormat="false" ht="15" hidden="false" customHeight="true" outlineLevel="0" collapsed="false">
      <c r="A179" s="12" t="n">
        <v>174</v>
      </c>
      <c r="B179" s="13" t="n">
        <v>46219</v>
      </c>
      <c r="C179" s="12" t="s">
        <v>9</v>
      </c>
      <c r="D179" s="12" t="s">
        <v>37</v>
      </c>
      <c r="E179" s="14" t="n">
        <v>3000</v>
      </c>
      <c r="F179" s="15" t="n">
        <v>2912.62</v>
      </c>
      <c r="G179" s="15" t="n">
        <v>87.38</v>
      </c>
      <c r="H179" s="16" t="n">
        <v>26.9413</v>
      </c>
      <c r="I179" s="15" t="n">
        <v>108.11</v>
      </c>
      <c r="J179" s="12" t="str">
        <f aca="false">IF(C179="Gold", FLOOR(I179,1000)&amp;"-"&amp;(FLOOR(I179,1000)+1000), FLOOR(I179,20)&amp;"-"&amp;(FLOOR(I179,20)+20))</f>
        <v>100-120</v>
      </c>
    </row>
    <row r="180" customFormat="false" ht="15" hidden="false" customHeight="true" outlineLevel="0" collapsed="false">
      <c r="A180" s="12" t="n">
        <v>175</v>
      </c>
      <c r="B180" s="13" t="n">
        <v>46228</v>
      </c>
      <c r="C180" s="12" t="s">
        <v>9</v>
      </c>
      <c r="D180" s="12" t="s">
        <v>38</v>
      </c>
      <c r="E180" s="14" t="n">
        <v>15000</v>
      </c>
      <c r="F180" s="15" t="n">
        <v>14563.11</v>
      </c>
      <c r="G180" s="15" t="n">
        <v>436.89</v>
      </c>
      <c r="H180" s="16" t="n">
        <v>130.9986</v>
      </c>
      <c r="I180" s="15" t="n">
        <v>111.17</v>
      </c>
      <c r="J180" s="12" t="str">
        <f aca="false">IF(C180="Gold", FLOOR(I180,1000)&amp;"-"&amp;(FLOOR(I180,1000)+1000), FLOOR(I180,20)&amp;"-"&amp;(FLOOR(I180,20)+20))</f>
        <v>100-120</v>
      </c>
    </row>
    <row r="181" customFormat="false" ht="15" hidden="false" customHeight="true" outlineLevel="0" collapsed="false">
      <c r="A181" s="12" t="n">
        <v>176</v>
      </c>
      <c r="B181" s="13" t="n">
        <v>46234</v>
      </c>
      <c r="C181" s="12" t="s">
        <v>9</v>
      </c>
      <c r="D181" s="12" t="s">
        <v>38</v>
      </c>
      <c r="E181" s="14" t="n">
        <v>2500</v>
      </c>
      <c r="F181" s="15" t="n">
        <v>2427.18</v>
      </c>
      <c r="G181" s="15" t="n">
        <v>72.82</v>
      </c>
      <c r="H181" s="16" t="n">
        <v>23.0086</v>
      </c>
      <c r="I181" s="15" t="n">
        <v>105.49</v>
      </c>
      <c r="J181" s="12" t="str">
        <f aca="false">IF(C181="Gold", FLOOR(I181,1000)&amp;"-"&amp;(FLOOR(I181,1000)+1000), FLOOR(I181,20)&amp;"-"&amp;(FLOOR(I181,20)+20))</f>
        <v>100-120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26"/>
    <col collapsed="false" customWidth="true" hidden="false" outlineLevel="0" max="4" min="2" style="7" width="16"/>
  </cols>
  <sheetData>
    <row r="1" customFormat="false" ht="17.25" hidden="false" customHeight="true" outlineLevel="0" collapsed="false">
      <c r="A1" s="9" t="s">
        <v>39</v>
      </c>
    </row>
    <row r="2" customFormat="false" ht="15" hidden="false" customHeight="true" outlineLevel="0" collapsed="false">
      <c r="A2" s="10" t="s">
        <v>40</v>
      </c>
    </row>
    <row r="4" customFormat="false" ht="15" hidden="false" customHeight="true" outlineLevel="0" collapsed="false">
      <c r="A4" s="11" t="s">
        <v>41</v>
      </c>
      <c r="B4" s="11" t="s">
        <v>8</v>
      </c>
      <c r="C4" s="11" t="s">
        <v>9</v>
      </c>
      <c r="D4" s="11" t="s">
        <v>42</v>
      </c>
    </row>
    <row r="5" customFormat="false" ht="15" hidden="false" customHeight="true" outlineLevel="0" collapsed="false">
      <c r="A5" s="17" t="s">
        <v>2</v>
      </c>
      <c r="B5" s="18" t="n">
        <f aca="false">COUNTIF(Transactions!$C$6:$C$181,"Gold")</f>
        <v>84</v>
      </c>
      <c r="C5" s="18" t="n">
        <f aca="false">COUNTIF(Transactions!$C$6:$C$181,"Silver")</f>
        <v>92</v>
      </c>
      <c r="D5" s="18" t="n">
        <f aca="false">COUNTA(Transactions!$C$6:$C$181)</f>
        <v>176</v>
      </c>
    </row>
    <row r="6" customFormat="false" ht="15" hidden="false" customHeight="true" outlineLevel="0" collapsed="false">
      <c r="A6" s="17" t="s">
        <v>30</v>
      </c>
      <c r="B6" s="15" t="n">
        <f aca="false">SUMIF(Transactions!$C$6:$C$181,"Gold",Transactions!$E$6:$E$181)</f>
        <v>764000</v>
      </c>
      <c r="C6" s="15" t="n">
        <f aca="false">SUMIF(Transactions!$C$6:$C$181,"Silver",Transactions!$E$6:$E$181)</f>
        <v>886000</v>
      </c>
      <c r="D6" s="15" t="n">
        <f aca="false">B6+C6</f>
        <v>1650000</v>
      </c>
    </row>
    <row r="7" customFormat="false" ht="15" hidden="false" customHeight="true" outlineLevel="0" collapsed="false">
      <c r="A7" s="17" t="s">
        <v>43</v>
      </c>
      <c r="B7" s="15" t="n">
        <f aca="false">SUMIF(Transactions!$C$6:$C$181,"Gold",Transactions!$F$6:$F$181)</f>
        <v>741747.59</v>
      </c>
      <c r="C7" s="15" t="n">
        <f aca="false">SUMIF(Transactions!$C$6:$C$181,"Silver",Transactions!$F$6:$F$181)</f>
        <v>860194.23</v>
      </c>
      <c r="D7" s="15" t="n">
        <f aca="false">B7+C7</f>
        <v>1601941.82</v>
      </c>
    </row>
    <row r="8" customFormat="false" ht="15" hidden="false" customHeight="true" outlineLevel="0" collapsed="false">
      <c r="A8" s="17" t="s">
        <v>44</v>
      </c>
      <c r="B8" s="15" t="n">
        <f aca="false">SUMIF(Transactions!$C$6:$C$181,"Gold",Transactions!$G$6:$G$181)</f>
        <v>22252.41</v>
      </c>
      <c r="C8" s="15" t="n">
        <f aca="false">SUMIF(Transactions!$C$6:$C$181,"Silver",Transactions!$G$6:$G$181)</f>
        <v>25805.77</v>
      </c>
      <c r="D8" s="15" t="n">
        <f aca="false">B8+C8</f>
        <v>48058.18</v>
      </c>
    </row>
    <row r="9" customFormat="false" ht="15" hidden="false" customHeight="true" outlineLevel="0" collapsed="false">
      <c r="A9" s="17" t="s">
        <v>45</v>
      </c>
      <c r="B9" s="16" t="n">
        <f aca="false">SUMIF(Transactions!$C$6:$C$181,"Gold",Transactions!$H$6:$H$181)</f>
        <v>103.0947</v>
      </c>
      <c r="C9" s="16" t="n">
        <f aca="false">SUMIF(Transactions!$C$6:$C$181,"Silver",Transactions!$H$6:$H$181)</f>
        <v>10013.6824</v>
      </c>
      <c r="D9" s="16" t="n">
        <f aca="false">B9+C9</f>
        <v>10116.7771</v>
      </c>
    </row>
    <row r="10" customFormat="false" ht="15" hidden="false" customHeight="true" outlineLevel="0" collapsed="false">
      <c r="A10" s="17" t="s">
        <v>46</v>
      </c>
      <c r="B10" s="15" t="n">
        <f aca="false">AVERAGEIF(Transactions!$C$6:$C$181,"Gold",Transactions!$I$6:$I$181)</f>
        <v>7228.13452380953</v>
      </c>
      <c r="C10" s="15" t="n">
        <f aca="false">AVERAGEIF(Transactions!$C$6:$C$181,"Silver",Transactions!$I$6:$I$181)</f>
        <v>86.8580434782609</v>
      </c>
      <c r="D10" s="15" t="n">
        <f aca="false">(B10*B5+C10*C5)/D5</f>
        <v>3495.19454545455</v>
      </c>
    </row>
    <row r="11" customFormat="false" ht="15" hidden="false" customHeight="true" outlineLevel="0" collapsed="false">
      <c r="A11" s="17" t="s">
        <v>47</v>
      </c>
      <c r="B11" s="19" t="n">
        <f aca="false">B8/B7</f>
        <v>0.0299999761374351</v>
      </c>
      <c r="C11" s="19" t="n">
        <f aca="false">C8/C7</f>
        <v>0.0299999338521487</v>
      </c>
      <c r="D11" s="19" t="n">
        <f aca="false">D8/D7</f>
        <v>0.0299999534315173</v>
      </c>
    </row>
    <row r="12" customFormat="false" ht="15" hidden="false" customHeight="true" outlineLevel="0" collapsed="false">
      <c r="A12" s="17" t="s">
        <v>48</v>
      </c>
      <c r="B12" s="15" t="n">
        <f aca="false">B6/B5</f>
        <v>9095.2380952381</v>
      </c>
      <c r="C12" s="15" t="n">
        <f aca="false">C6/C5</f>
        <v>9630.4347826087</v>
      </c>
      <c r="D12" s="15" t="n">
        <f aca="false">D6/D5</f>
        <v>9375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20"/>
    <col collapsed="false" customWidth="true" hidden="false" outlineLevel="0" max="2" min="2" style="7" width="16"/>
    <col collapsed="false" customWidth="true" hidden="false" outlineLevel="0" max="3" min="3" style="7" width="14"/>
    <col collapsed="false" customWidth="true" hidden="false" outlineLevel="0" max="4" min="4" style="7" width="16"/>
    <col collapsed="false" customWidth="true" hidden="false" outlineLevel="0" max="5" min="5" style="7" width="12"/>
  </cols>
  <sheetData>
    <row r="1" customFormat="false" ht="17.25" hidden="false" customHeight="true" outlineLevel="0" collapsed="false">
      <c r="A1" s="9" t="s">
        <v>49</v>
      </c>
    </row>
    <row r="2" customFormat="false" ht="15" hidden="false" customHeight="true" outlineLevel="0" collapsed="false">
      <c r="A2" s="10" t="s">
        <v>50</v>
      </c>
    </row>
    <row r="4" customFormat="false" ht="15" hidden="false" customHeight="true" outlineLevel="0" collapsed="false">
      <c r="A4" s="20" t="s">
        <v>51</v>
      </c>
    </row>
    <row r="5" customFormat="false" ht="23.25" hidden="false" customHeight="true" outlineLevel="0" collapsed="false">
      <c r="A5" s="11" t="s">
        <v>52</v>
      </c>
      <c r="B5" s="11" t="s">
        <v>53</v>
      </c>
      <c r="C5" s="11" t="s">
        <v>54</v>
      </c>
      <c r="D5" s="11" t="s">
        <v>1</v>
      </c>
      <c r="E5" s="11" t="s">
        <v>55</v>
      </c>
    </row>
    <row r="6" customFormat="false" ht="15" hidden="false" customHeight="true" outlineLevel="0" collapsed="false">
      <c r="A6" s="12" t="s">
        <v>56</v>
      </c>
      <c r="B6" s="12" t="n">
        <f aca="false">COUNTIFS(Transactions!$C$6:$C$181,"Gold",Transactions!$J$6:$J$181,"5,000-6,000")</f>
        <v>0</v>
      </c>
      <c r="C6" s="16" t="n">
        <f aca="false">SUMIFS(Transactions!$H$6:$H$181,Transactions!$C$6:$C$181,"Gold",Transactions!$J$6:$J$181,"5,000-6,000")</f>
        <v>0</v>
      </c>
      <c r="D6" s="14" t="n">
        <f aca="false">SUMIFS(Transactions!$E$6:$E$181,Transactions!$C$6:$C$181,"Gold",Transactions!$J$6:$J$181,"5,000-6,000")</f>
        <v>0</v>
      </c>
      <c r="E6" s="19" t="n">
        <f aca="false">D6/'Transaction Summary'!$B$6</f>
        <v>0</v>
      </c>
    </row>
    <row r="7" customFormat="false" ht="15" hidden="false" customHeight="true" outlineLevel="0" collapsed="false">
      <c r="A7" s="12" t="s">
        <v>57</v>
      </c>
      <c r="B7" s="12" t="n">
        <f aca="false">COUNTIFS(Transactions!$C$6:$C$181,"Gold",Transactions!$J$6:$J$181,"6,000-7,000")</f>
        <v>0</v>
      </c>
      <c r="C7" s="16" t="n">
        <f aca="false">SUMIFS(Transactions!$H$6:$H$181,Transactions!$C$6:$C$181,"Gold",Transactions!$J$6:$J$181,"6,000-7,000")</f>
        <v>0</v>
      </c>
      <c r="D7" s="14" t="n">
        <f aca="false">SUMIFS(Transactions!$E$6:$E$181,Transactions!$C$6:$C$181,"Gold",Transactions!$J$6:$J$181,"6,000-7,000")</f>
        <v>0</v>
      </c>
      <c r="E7" s="19" t="n">
        <f aca="false">D7/'Transaction Summary'!$B$6</f>
        <v>0</v>
      </c>
    </row>
    <row r="8" customFormat="false" ht="15" hidden="false" customHeight="true" outlineLevel="0" collapsed="false">
      <c r="A8" s="12" t="s">
        <v>58</v>
      </c>
      <c r="B8" s="12" t="n">
        <f aca="false">COUNTIFS(Transactions!$C$6:$C$181,"Gold",Transactions!$J$6:$J$181,"7,000-8,000")</f>
        <v>0</v>
      </c>
      <c r="C8" s="16" t="n">
        <f aca="false">SUMIFS(Transactions!$H$6:$H$181,Transactions!$C$6:$C$181,"Gold",Transactions!$J$6:$J$181,"7,000-8,000")</f>
        <v>0</v>
      </c>
      <c r="D8" s="14" t="n">
        <f aca="false">SUMIFS(Transactions!$E$6:$E$181,Transactions!$C$6:$C$181,"Gold",Transactions!$J$6:$J$181,"7,000-8,000")</f>
        <v>0</v>
      </c>
      <c r="E8" s="19" t="n">
        <f aca="false">D8/'Transaction Summary'!$B$6</f>
        <v>0</v>
      </c>
    </row>
    <row r="9" customFormat="false" ht="15" hidden="false" customHeight="true" outlineLevel="0" collapsed="false">
      <c r="A9" s="12" t="s">
        <v>59</v>
      </c>
      <c r="B9" s="12" t="n">
        <f aca="false">COUNTIFS(Transactions!$C$6:$C$181,"Gold",Transactions!$J$6:$J$181,"8,000-9,000")</f>
        <v>0</v>
      </c>
      <c r="C9" s="16" t="n">
        <f aca="false">SUMIFS(Transactions!$H$6:$H$181,Transactions!$C$6:$C$181,"Gold",Transactions!$J$6:$J$181,"8,000-9,000")</f>
        <v>0</v>
      </c>
      <c r="D9" s="14" t="n">
        <f aca="false">SUMIFS(Transactions!$E$6:$E$181,Transactions!$C$6:$C$181,"Gold",Transactions!$J$6:$J$181,"8,000-9,000")</f>
        <v>0</v>
      </c>
      <c r="E9" s="19" t="n">
        <f aca="false">D9/'Transaction Summary'!$B$6</f>
        <v>0</v>
      </c>
    </row>
    <row r="12" customFormat="false" ht="15" hidden="false" customHeight="true" outlineLevel="0" collapsed="false">
      <c r="A12" s="20" t="s">
        <v>60</v>
      </c>
    </row>
    <row r="13" customFormat="false" ht="23.25" hidden="false" customHeight="true" outlineLevel="0" collapsed="false">
      <c r="A13" s="11" t="s">
        <v>52</v>
      </c>
      <c r="B13" s="11" t="s">
        <v>53</v>
      </c>
      <c r="C13" s="11" t="s">
        <v>54</v>
      </c>
      <c r="D13" s="11" t="s">
        <v>1</v>
      </c>
      <c r="E13" s="11" t="s">
        <v>55</v>
      </c>
    </row>
    <row r="14" customFormat="false" ht="15" hidden="false" customHeight="true" outlineLevel="0" collapsed="false">
      <c r="A14" s="12" t="s">
        <v>61</v>
      </c>
      <c r="B14" s="12" t="n">
        <f aca="false">COUNTIFS(Transactions!$C$6:$C$181,"Silver",Transactions!$J$6:$J$181,"60-80")</f>
        <v>35</v>
      </c>
      <c r="C14" s="16" t="n">
        <f aca="false">SUMIFS(Transactions!$H$6:$H$181,Transactions!$C$6:$C$181,"Silver",Transactions!$J$6:$J$181,"60-80")</f>
        <v>4216.2345</v>
      </c>
      <c r="D14" s="14" t="n">
        <f aca="false">SUMIFS(Transactions!$E$6:$E$181,Transactions!$C$6:$C$181,"Silver",Transactions!$J$6:$J$181,"60-80")</f>
        <v>319000</v>
      </c>
      <c r="E14" s="19" t="n">
        <f aca="false">D14/'Transaction Summary'!$C$6</f>
        <v>0.360045146726862</v>
      </c>
    </row>
    <row r="15" customFormat="false" ht="15" hidden="false" customHeight="true" outlineLevel="0" collapsed="false">
      <c r="A15" s="12" t="s">
        <v>62</v>
      </c>
      <c r="B15" s="12" t="n">
        <f aca="false">COUNTIFS(Transactions!$C$6:$C$181,"Silver",Transactions!$J$6:$J$181,"80-100")</f>
        <v>37</v>
      </c>
      <c r="C15" s="16" t="n">
        <f aca="false">SUMIFS(Transactions!$H$6:$H$181,Transactions!$C$6:$C$181,"Silver",Transactions!$J$6:$J$181,"80-100")</f>
        <v>3729.4878</v>
      </c>
      <c r="D15" s="14" t="n">
        <f aca="false">SUMIFS(Transactions!$E$6:$E$181,Transactions!$C$6:$C$181,"Silver",Transactions!$J$6:$J$181,"80-100")</f>
        <v>344000</v>
      </c>
      <c r="E15" s="19" t="n">
        <f aca="false">D15/'Transaction Summary'!$C$6</f>
        <v>0.388261851015801</v>
      </c>
    </row>
    <row r="16" customFormat="false" ht="15" hidden="false" customHeight="true" outlineLevel="0" collapsed="false">
      <c r="A16" s="12" t="s">
        <v>63</v>
      </c>
      <c r="B16" s="12" t="n">
        <f aca="false">COUNTIFS(Transactions!$C$6:$C$181,"Silver",Transactions!$J$6:$J$181,"100-120")</f>
        <v>20</v>
      </c>
      <c r="C16" s="16" t="n">
        <f aca="false">SUMIFS(Transactions!$H$6:$H$181,Transactions!$C$6:$C$181,"Silver",Transactions!$J$6:$J$181,"100-120")</f>
        <v>2067.9601</v>
      </c>
      <c r="D16" s="14" t="n">
        <f aca="false">SUMIFS(Transactions!$E$6:$E$181,Transactions!$C$6:$C$181,"Silver",Transactions!$J$6:$J$181,"100-120")</f>
        <v>223000</v>
      </c>
      <c r="E16" s="19" t="n">
        <f aca="false">D16/'Transaction Summary'!$C$6</f>
        <v>0.251693002257336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5"/>
    <col collapsed="false" customWidth="true" hidden="false" outlineLevel="0" max="2" min="2" style="7" width="12"/>
    <col collapsed="false" customWidth="true" hidden="false" outlineLevel="0" max="3" min="3" style="7" width="8"/>
    <col collapsed="false" customWidth="true" hidden="false" outlineLevel="0" max="4" min="4" style="7" width="14"/>
    <col collapsed="false" customWidth="true" hidden="false" outlineLevel="0" max="6" min="5" style="7" width="12"/>
    <col collapsed="false" customWidth="true" hidden="false" outlineLevel="0" max="7" min="7" style="7" width="18"/>
  </cols>
  <sheetData>
    <row r="1" customFormat="false" ht="17.25" hidden="false" customHeight="true" outlineLevel="0" collapsed="false">
      <c r="A1" s="9" t="s">
        <v>64</v>
      </c>
    </row>
    <row r="2" customFormat="false" ht="15" hidden="false" customHeight="true" outlineLevel="0" collapsed="false">
      <c r="A2" s="10" t="s">
        <v>65</v>
      </c>
    </row>
    <row r="4" customFormat="false" ht="23.25" hidden="false" customHeight="true" outlineLevel="0" collapsed="false">
      <c r="A4" s="11" t="s">
        <v>27</v>
      </c>
      <c r="B4" s="11" t="s">
        <v>28</v>
      </c>
      <c r="C4" s="11" t="s">
        <v>6</v>
      </c>
      <c r="D4" s="11" t="s">
        <v>34</v>
      </c>
      <c r="E4" s="11" t="s">
        <v>33</v>
      </c>
      <c r="F4" s="11" t="s">
        <v>7</v>
      </c>
      <c r="G4" s="11" t="s">
        <v>66</v>
      </c>
    </row>
    <row r="5" customFormat="false" ht="15" hidden="false" customHeight="true" outlineLevel="0" collapsed="false">
      <c r="A5" s="12" t="n">
        <v>1</v>
      </c>
      <c r="B5" s="13" t="n">
        <v>45310</v>
      </c>
      <c r="C5" s="12" t="s">
        <v>8</v>
      </c>
      <c r="D5" s="15" t="n">
        <v>5532.14</v>
      </c>
      <c r="E5" s="16" t="n">
        <v>2.106</v>
      </c>
      <c r="F5" s="14" t="n">
        <v>12000</v>
      </c>
      <c r="G5" s="14" t="n">
        <f aca="false">F5</f>
        <v>12000</v>
      </c>
    </row>
    <row r="6" customFormat="false" ht="15" hidden="false" customHeight="true" outlineLevel="0" collapsed="false">
      <c r="A6" s="12" t="n">
        <v>2</v>
      </c>
      <c r="B6" s="13" t="n">
        <v>45314</v>
      </c>
      <c r="C6" s="12" t="s">
        <v>9</v>
      </c>
      <c r="D6" s="15" t="n">
        <v>65.96</v>
      </c>
      <c r="E6" s="16" t="n">
        <v>110.3934</v>
      </c>
      <c r="F6" s="14" t="n">
        <v>7500</v>
      </c>
      <c r="G6" s="14" t="n">
        <f aca="false">G5+F6</f>
        <v>19500</v>
      </c>
    </row>
    <row r="7" customFormat="false" ht="15" hidden="false" customHeight="true" outlineLevel="0" collapsed="false">
      <c r="A7" s="12" t="n">
        <v>3</v>
      </c>
      <c r="B7" s="13" t="n">
        <v>45316</v>
      </c>
      <c r="C7" s="12" t="s">
        <v>9</v>
      </c>
      <c r="D7" s="15" t="n">
        <v>67.58</v>
      </c>
      <c r="E7" s="16" t="n">
        <v>71.8315</v>
      </c>
      <c r="F7" s="14" t="n">
        <v>5000</v>
      </c>
      <c r="G7" s="14" t="n">
        <f aca="false">G6+F7</f>
        <v>24500</v>
      </c>
    </row>
    <row r="8" customFormat="false" ht="15" hidden="false" customHeight="true" outlineLevel="0" collapsed="false">
      <c r="A8" s="12" t="n">
        <v>4</v>
      </c>
      <c r="B8" s="13" t="n">
        <v>45320</v>
      </c>
      <c r="C8" s="12" t="s">
        <v>9</v>
      </c>
      <c r="D8" s="15" t="n">
        <v>67.54</v>
      </c>
      <c r="E8" s="16" t="n">
        <v>28.7496</v>
      </c>
      <c r="F8" s="14" t="n">
        <v>2000</v>
      </c>
      <c r="G8" s="14" t="n">
        <f aca="false">G7+F8</f>
        <v>26500</v>
      </c>
    </row>
    <row r="9" customFormat="false" ht="15" hidden="false" customHeight="true" outlineLevel="0" collapsed="false">
      <c r="A9" s="12" t="n">
        <v>5</v>
      </c>
      <c r="B9" s="13" t="n">
        <v>45324</v>
      </c>
      <c r="C9" s="12" t="s">
        <v>9</v>
      </c>
      <c r="D9" s="15" t="n">
        <v>67.62</v>
      </c>
      <c r="E9" s="16" t="n">
        <v>86.1467</v>
      </c>
      <c r="F9" s="14" t="n">
        <v>6000</v>
      </c>
      <c r="G9" s="14" t="n">
        <f aca="false">G8+F9</f>
        <v>32500</v>
      </c>
    </row>
    <row r="10" customFormat="false" ht="15" hidden="false" customHeight="true" outlineLevel="0" collapsed="false">
      <c r="A10" s="12" t="n">
        <v>6</v>
      </c>
      <c r="B10" s="13" t="n">
        <v>45330</v>
      </c>
      <c r="C10" s="12" t="s">
        <v>9</v>
      </c>
      <c r="D10" s="15" t="n">
        <v>67.85</v>
      </c>
      <c r="E10" s="16" t="n">
        <v>171.7095</v>
      </c>
      <c r="F10" s="14" t="n">
        <v>12000</v>
      </c>
      <c r="G10" s="14" t="n">
        <f aca="false">G9+F10</f>
        <v>44500</v>
      </c>
    </row>
    <row r="11" customFormat="false" ht="15" hidden="false" customHeight="true" outlineLevel="0" collapsed="false">
      <c r="A11" s="12" t="n">
        <v>7</v>
      </c>
      <c r="B11" s="13" t="n">
        <v>45340</v>
      </c>
      <c r="C11" s="12" t="s">
        <v>9</v>
      </c>
      <c r="D11" s="15" t="n">
        <v>70.26</v>
      </c>
      <c r="E11" s="16" t="n">
        <v>41.4549</v>
      </c>
      <c r="F11" s="14" t="n">
        <v>3000</v>
      </c>
      <c r="G11" s="14" t="n">
        <f aca="false">G10+F11</f>
        <v>47500</v>
      </c>
    </row>
    <row r="12" customFormat="false" ht="15" hidden="false" customHeight="true" outlineLevel="0" collapsed="false">
      <c r="A12" s="12" t="n">
        <v>8</v>
      </c>
      <c r="B12" s="13" t="n">
        <v>45351</v>
      </c>
      <c r="C12" s="12" t="s">
        <v>9</v>
      </c>
      <c r="D12" s="15" t="n">
        <v>69.65</v>
      </c>
      <c r="E12" s="16" t="n">
        <v>278.7865</v>
      </c>
      <c r="F12" s="14" t="n">
        <v>20000</v>
      </c>
      <c r="G12" s="14" t="n">
        <f aca="false">G11+F12</f>
        <v>67500</v>
      </c>
    </row>
    <row r="13" customFormat="false" ht="15" hidden="false" customHeight="true" outlineLevel="0" collapsed="false">
      <c r="A13" s="12" t="n">
        <v>9</v>
      </c>
      <c r="B13" s="13" t="n">
        <v>45352</v>
      </c>
      <c r="C13" s="12" t="s">
        <v>8</v>
      </c>
      <c r="D13" s="15" t="n">
        <v>5779.44</v>
      </c>
      <c r="E13" s="16" t="n">
        <v>3.0238</v>
      </c>
      <c r="F13" s="14" t="n">
        <v>18000</v>
      </c>
      <c r="G13" s="14" t="n">
        <f aca="false">G12+F13</f>
        <v>85500</v>
      </c>
    </row>
    <row r="14" customFormat="false" ht="15" hidden="false" customHeight="true" outlineLevel="0" collapsed="false">
      <c r="A14" s="12" t="n">
        <v>10</v>
      </c>
      <c r="B14" s="13" t="n">
        <v>45354</v>
      </c>
      <c r="C14" s="12" t="s">
        <v>8</v>
      </c>
      <c r="D14" s="15" t="n">
        <v>5731.44</v>
      </c>
      <c r="E14" s="16" t="n">
        <v>0.5082</v>
      </c>
      <c r="F14" s="14" t="n">
        <v>3000</v>
      </c>
      <c r="G14" s="14" t="n">
        <f aca="false">G13+F14</f>
        <v>88500</v>
      </c>
    </row>
    <row r="15" customFormat="false" ht="15" hidden="false" customHeight="true" outlineLevel="0" collapsed="false">
      <c r="A15" s="12" t="n">
        <v>11</v>
      </c>
      <c r="B15" s="13" t="n">
        <v>45356</v>
      </c>
      <c r="C15" s="12" t="s">
        <v>9</v>
      </c>
      <c r="D15" s="15" t="n">
        <v>68.77</v>
      </c>
      <c r="E15" s="16" t="n">
        <v>28.2354</v>
      </c>
      <c r="F15" s="14" t="n">
        <v>2000</v>
      </c>
      <c r="G15" s="14" t="n">
        <f aca="false">G14+F15</f>
        <v>90500</v>
      </c>
    </row>
    <row r="16" customFormat="false" ht="15" hidden="false" customHeight="true" outlineLevel="0" collapsed="false">
      <c r="A16" s="12" t="n">
        <v>12</v>
      </c>
      <c r="B16" s="13" t="n">
        <v>45359</v>
      </c>
      <c r="C16" s="12" t="s">
        <v>8</v>
      </c>
      <c r="D16" s="15" t="n">
        <v>5632.03</v>
      </c>
      <c r="E16" s="16" t="n">
        <v>6.0335</v>
      </c>
      <c r="F16" s="14" t="n">
        <v>35000</v>
      </c>
      <c r="G16" s="14" t="n">
        <f aca="false">G15+F16</f>
        <v>125500</v>
      </c>
    </row>
    <row r="17" customFormat="false" ht="15" hidden="false" customHeight="true" outlineLevel="0" collapsed="false">
      <c r="A17" s="12" t="n">
        <v>13</v>
      </c>
      <c r="B17" s="13" t="n">
        <v>45360</v>
      </c>
      <c r="C17" s="12" t="s">
        <v>9</v>
      </c>
      <c r="D17" s="15" t="n">
        <v>69.3</v>
      </c>
      <c r="E17" s="16" t="n">
        <v>140.0973</v>
      </c>
      <c r="F17" s="14" t="n">
        <v>10000</v>
      </c>
      <c r="G17" s="14" t="n">
        <f aca="false">G16+F17</f>
        <v>135500</v>
      </c>
    </row>
    <row r="18" customFormat="false" ht="15" hidden="false" customHeight="true" outlineLevel="0" collapsed="false">
      <c r="A18" s="12" t="n">
        <v>14</v>
      </c>
      <c r="B18" s="13" t="n">
        <v>45367</v>
      </c>
      <c r="C18" s="12" t="s">
        <v>9</v>
      </c>
      <c r="D18" s="15" t="n">
        <v>65.61</v>
      </c>
      <c r="E18" s="16" t="n">
        <v>110.9823</v>
      </c>
      <c r="F18" s="14" t="n">
        <v>7500</v>
      </c>
      <c r="G18" s="14" t="n">
        <f aca="false">G17+F18</f>
        <v>143000</v>
      </c>
    </row>
    <row r="19" customFormat="false" ht="15" hidden="false" customHeight="true" outlineLevel="0" collapsed="false">
      <c r="A19" s="12" t="n">
        <v>15</v>
      </c>
      <c r="B19" s="13" t="n">
        <v>45375</v>
      </c>
      <c r="C19" s="12" t="s">
        <v>9</v>
      </c>
      <c r="D19" s="15" t="n">
        <v>67.69</v>
      </c>
      <c r="E19" s="16" t="n">
        <v>114.7435</v>
      </c>
      <c r="F19" s="14" t="n">
        <v>8000</v>
      </c>
      <c r="G19" s="14" t="n">
        <f aca="false">G18+F19</f>
        <v>151000</v>
      </c>
    </row>
    <row r="20" customFormat="false" ht="15" hidden="false" customHeight="true" outlineLevel="0" collapsed="false">
      <c r="A20" s="12" t="n">
        <v>16</v>
      </c>
      <c r="B20" s="13" t="n">
        <v>45377</v>
      </c>
      <c r="C20" s="12" t="s">
        <v>9</v>
      </c>
      <c r="D20" s="15" t="n">
        <v>69.94</v>
      </c>
      <c r="E20" s="16" t="n">
        <v>55.5262</v>
      </c>
      <c r="F20" s="14" t="n">
        <v>4000</v>
      </c>
      <c r="G20" s="14" t="n">
        <f aca="false">G19+F20</f>
        <v>155000</v>
      </c>
    </row>
    <row r="21" customFormat="false" ht="15" hidden="false" customHeight="true" outlineLevel="0" collapsed="false">
      <c r="A21" s="12" t="n">
        <v>17</v>
      </c>
      <c r="B21" s="13" t="n">
        <v>45379</v>
      </c>
      <c r="C21" s="12" t="s">
        <v>8</v>
      </c>
      <c r="D21" s="15" t="n">
        <v>5731.87</v>
      </c>
      <c r="E21" s="16" t="n">
        <v>1.6938</v>
      </c>
      <c r="F21" s="14" t="n">
        <v>10000</v>
      </c>
      <c r="G21" s="14" t="n">
        <f aca="false">G20+F21</f>
        <v>165000</v>
      </c>
    </row>
    <row r="22" customFormat="false" ht="15" hidden="false" customHeight="true" outlineLevel="0" collapsed="false">
      <c r="A22" s="12" t="n">
        <v>18</v>
      </c>
      <c r="B22" s="13" t="n">
        <v>45382</v>
      </c>
      <c r="C22" s="12" t="s">
        <v>9</v>
      </c>
      <c r="D22" s="15" t="n">
        <v>65.86</v>
      </c>
      <c r="E22" s="16" t="n">
        <v>29.483</v>
      </c>
      <c r="F22" s="14" t="n">
        <v>2000</v>
      </c>
      <c r="G22" s="14" t="n">
        <f aca="false">G21+F22</f>
        <v>167000</v>
      </c>
    </row>
    <row r="23" customFormat="false" ht="15" hidden="false" customHeight="true" outlineLevel="0" collapsed="false">
      <c r="A23" s="12" t="n">
        <v>19</v>
      </c>
      <c r="B23" s="13" t="n">
        <v>45383</v>
      </c>
      <c r="C23" s="12" t="s">
        <v>8</v>
      </c>
      <c r="D23" s="15" t="n">
        <v>6004.28</v>
      </c>
      <c r="E23" s="16" t="n">
        <v>0.3234</v>
      </c>
      <c r="F23" s="14" t="n">
        <v>2000</v>
      </c>
      <c r="G23" s="14" t="n">
        <f aca="false">G22+F23</f>
        <v>169000</v>
      </c>
    </row>
    <row r="24" customFormat="false" ht="15" hidden="false" customHeight="true" outlineLevel="0" collapsed="false">
      <c r="A24" s="12" t="n">
        <v>20</v>
      </c>
      <c r="B24" s="13" t="n">
        <v>45383</v>
      </c>
      <c r="C24" s="12" t="s">
        <v>9</v>
      </c>
      <c r="D24" s="15" t="n">
        <v>66.24</v>
      </c>
      <c r="E24" s="16" t="n">
        <v>14.6569</v>
      </c>
      <c r="F24" s="14" t="n">
        <v>1000</v>
      </c>
      <c r="G24" s="14" t="n">
        <f aca="false">G23+F24</f>
        <v>170000</v>
      </c>
    </row>
    <row r="25" customFormat="false" ht="15" hidden="false" customHeight="true" outlineLevel="0" collapsed="false">
      <c r="A25" s="12" t="n">
        <v>21</v>
      </c>
      <c r="B25" s="13" t="n">
        <v>45384</v>
      </c>
      <c r="C25" s="12" t="s">
        <v>8</v>
      </c>
      <c r="D25" s="15" t="n">
        <v>5865.03</v>
      </c>
      <c r="E25" s="16" t="n">
        <v>0.2483</v>
      </c>
      <c r="F25" s="14" t="n">
        <v>1500</v>
      </c>
      <c r="G25" s="14" t="n">
        <f aca="false">G24+F25</f>
        <v>171500</v>
      </c>
    </row>
    <row r="26" customFormat="false" ht="15" hidden="false" customHeight="true" outlineLevel="0" collapsed="false">
      <c r="A26" s="12" t="n">
        <v>22</v>
      </c>
      <c r="B26" s="13" t="n">
        <v>45391</v>
      </c>
      <c r="C26" s="12" t="s">
        <v>9</v>
      </c>
      <c r="D26" s="15" t="n">
        <v>66.53</v>
      </c>
      <c r="E26" s="16" t="n">
        <v>87.5581</v>
      </c>
      <c r="F26" s="14" t="n">
        <v>6000</v>
      </c>
      <c r="G26" s="14" t="n">
        <f aca="false">G25+F26</f>
        <v>177500</v>
      </c>
    </row>
    <row r="27" customFormat="false" ht="15" hidden="false" customHeight="true" outlineLevel="0" collapsed="false">
      <c r="A27" s="12" t="n">
        <v>23</v>
      </c>
      <c r="B27" s="13" t="n">
        <v>45399</v>
      </c>
      <c r="C27" s="12" t="s">
        <v>9</v>
      </c>
      <c r="D27" s="15" t="n">
        <v>72.56</v>
      </c>
      <c r="E27" s="16" t="n">
        <v>133.8029</v>
      </c>
      <c r="F27" s="14" t="n">
        <v>10000</v>
      </c>
      <c r="G27" s="14" t="n">
        <f aca="false">G26+F27</f>
        <v>187500</v>
      </c>
    </row>
    <row r="28" customFormat="false" ht="15" hidden="false" customHeight="true" outlineLevel="0" collapsed="false">
      <c r="A28" s="12" t="n">
        <v>24</v>
      </c>
      <c r="B28" s="13" t="n">
        <v>45410</v>
      </c>
      <c r="C28" s="12" t="s">
        <v>8</v>
      </c>
      <c r="D28" s="15" t="n">
        <v>5839.62</v>
      </c>
      <c r="E28" s="16" t="n">
        <v>0.665</v>
      </c>
      <c r="F28" s="14" t="n">
        <v>4000</v>
      </c>
      <c r="G28" s="14" t="n">
        <f aca="false">G27+F28</f>
        <v>191500</v>
      </c>
    </row>
    <row r="29" customFormat="false" ht="15" hidden="false" customHeight="true" outlineLevel="0" collapsed="false">
      <c r="A29" s="12" t="n">
        <v>25</v>
      </c>
      <c r="B29" s="13" t="n">
        <v>45411</v>
      </c>
      <c r="C29" s="12" t="s">
        <v>9</v>
      </c>
      <c r="D29" s="15" t="n">
        <v>67.58</v>
      </c>
      <c r="E29" s="16" t="n">
        <v>215.4944</v>
      </c>
      <c r="F29" s="14" t="n">
        <v>15000</v>
      </c>
      <c r="G29" s="14" t="n">
        <f aca="false">G28+F29</f>
        <v>206500</v>
      </c>
    </row>
    <row r="30" customFormat="false" ht="15" hidden="false" customHeight="true" outlineLevel="0" collapsed="false">
      <c r="A30" s="12" t="n">
        <v>26</v>
      </c>
      <c r="B30" s="13" t="n">
        <v>45424</v>
      </c>
      <c r="C30" s="12" t="s">
        <v>8</v>
      </c>
      <c r="D30" s="15" t="n">
        <v>6082.38</v>
      </c>
      <c r="E30" s="16" t="n">
        <v>3.9905</v>
      </c>
      <c r="F30" s="14" t="n">
        <v>25000</v>
      </c>
      <c r="G30" s="14" t="n">
        <f aca="false">G29+F30</f>
        <v>231500</v>
      </c>
    </row>
    <row r="31" customFormat="false" ht="15" hidden="false" customHeight="true" outlineLevel="0" collapsed="false">
      <c r="A31" s="12" t="n">
        <v>27</v>
      </c>
      <c r="B31" s="13" t="n">
        <v>45427</v>
      </c>
      <c r="C31" s="12" t="s">
        <v>9</v>
      </c>
      <c r="D31" s="15" t="n">
        <v>72.7</v>
      </c>
      <c r="E31" s="16" t="n">
        <v>100.1589</v>
      </c>
      <c r="F31" s="14" t="n">
        <v>7500</v>
      </c>
      <c r="G31" s="14" t="n">
        <f aca="false">G30+F31</f>
        <v>239000</v>
      </c>
    </row>
    <row r="32" customFormat="false" ht="15" hidden="false" customHeight="true" outlineLevel="0" collapsed="false">
      <c r="A32" s="12" t="n">
        <v>28</v>
      </c>
      <c r="B32" s="13" t="n">
        <v>45439</v>
      </c>
      <c r="C32" s="12" t="s">
        <v>8</v>
      </c>
      <c r="D32" s="15" t="n">
        <v>6186.68</v>
      </c>
      <c r="E32" s="16" t="n">
        <v>0.7846</v>
      </c>
      <c r="F32" s="14" t="n">
        <v>5000</v>
      </c>
      <c r="G32" s="14" t="n">
        <f aca="false">G31+F32</f>
        <v>244000</v>
      </c>
    </row>
    <row r="33" customFormat="false" ht="15" hidden="false" customHeight="true" outlineLevel="0" collapsed="false">
      <c r="A33" s="12" t="n">
        <v>29</v>
      </c>
      <c r="B33" s="13" t="n">
        <v>45448</v>
      </c>
      <c r="C33" s="12" t="s">
        <v>8</v>
      </c>
      <c r="D33" s="15" t="n">
        <v>6032.09</v>
      </c>
      <c r="E33" s="16" t="n">
        <v>0.4829</v>
      </c>
      <c r="F33" s="14" t="n">
        <v>3000</v>
      </c>
      <c r="G33" s="14" t="n">
        <f aca="false">G32+F33</f>
        <v>247000</v>
      </c>
    </row>
    <row r="34" customFormat="false" ht="15" hidden="false" customHeight="true" outlineLevel="0" collapsed="false">
      <c r="A34" s="12" t="n">
        <v>30</v>
      </c>
      <c r="B34" s="13" t="n">
        <v>45450</v>
      </c>
      <c r="C34" s="12" t="s">
        <v>8</v>
      </c>
      <c r="D34" s="15" t="n">
        <v>6009.74</v>
      </c>
      <c r="E34" s="16" t="n">
        <v>0.3231</v>
      </c>
      <c r="F34" s="14" t="n">
        <v>2000</v>
      </c>
      <c r="G34" s="14" t="n">
        <f aca="false">G33+F34</f>
        <v>249000</v>
      </c>
    </row>
    <row r="35" customFormat="false" ht="15" hidden="false" customHeight="true" outlineLevel="0" collapsed="false">
      <c r="A35" s="12" t="n">
        <v>31</v>
      </c>
      <c r="B35" s="13" t="n">
        <v>45451</v>
      </c>
      <c r="C35" s="12" t="s">
        <v>9</v>
      </c>
      <c r="D35" s="15" t="n">
        <v>74.44</v>
      </c>
      <c r="E35" s="16" t="n">
        <v>13.0423</v>
      </c>
      <c r="F35" s="14" t="n">
        <v>1000</v>
      </c>
      <c r="G35" s="14" t="n">
        <f aca="false">G34+F35</f>
        <v>250000</v>
      </c>
    </row>
    <row r="36" customFormat="false" ht="15" hidden="false" customHeight="true" outlineLevel="0" collapsed="false">
      <c r="A36" s="12" t="n">
        <v>32</v>
      </c>
      <c r="B36" s="13" t="n">
        <v>45457</v>
      </c>
      <c r="C36" s="12" t="s">
        <v>8</v>
      </c>
      <c r="D36" s="15" t="n">
        <v>6305.06</v>
      </c>
      <c r="E36" s="16" t="n">
        <v>0.154</v>
      </c>
      <c r="F36" s="14" t="n">
        <v>1000</v>
      </c>
      <c r="G36" s="14" t="n">
        <f aca="false">G35+F36</f>
        <v>251000</v>
      </c>
    </row>
    <row r="37" customFormat="false" ht="15" hidden="false" customHeight="true" outlineLevel="0" collapsed="false">
      <c r="A37" s="12" t="n">
        <v>33</v>
      </c>
      <c r="B37" s="13" t="n">
        <v>45483</v>
      </c>
      <c r="C37" s="12" t="s">
        <v>8</v>
      </c>
      <c r="D37" s="15" t="n">
        <v>6154.9</v>
      </c>
      <c r="E37" s="16" t="n">
        <v>0.7887</v>
      </c>
      <c r="F37" s="14" t="n">
        <v>5000</v>
      </c>
      <c r="G37" s="14" t="n">
        <f aca="false">G36+F37</f>
        <v>256000</v>
      </c>
    </row>
    <row r="38" customFormat="false" ht="15" hidden="false" customHeight="true" outlineLevel="0" collapsed="false">
      <c r="A38" s="12" t="n">
        <v>34</v>
      </c>
      <c r="B38" s="13" t="n">
        <v>45484</v>
      </c>
      <c r="C38" s="12" t="s">
        <v>8</v>
      </c>
      <c r="D38" s="15" t="n">
        <v>6328.73</v>
      </c>
      <c r="E38" s="16" t="n">
        <v>3.0681</v>
      </c>
      <c r="F38" s="14" t="n">
        <v>20000</v>
      </c>
      <c r="G38" s="14" t="n">
        <f aca="false">G37+F38</f>
        <v>276000</v>
      </c>
    </row>
    <row r="39" customFormat="false" ht="15" hidden="false" customHeight="true" outlineLevel="0" collapsed="false">
      <c r="A39" s="12" t="n">
        <v>35</v>
      </c>
      <c r="B39" s="13" t="n">
        <v>45498</v>
      </c>
      <c r="C39" s="12" t="s">
        <v>8</v>
      </c>
      <c r="D39" s="15" t="n">
        <v>6133.37</v>
      </c>
      <c r="E39" s="16" t="n">
        <v>0.6332</v>
      </c>
      <c r="F39" s="14" t="n">
        <v>4000</v>
      </c>
      <c r="G39" s="14" t="n">
        <f aca="false">G38+F39</f>
        <v>280000</v>
      </c>
    </row>
    <row r="40" customFormat="false" ht="15" hidden="false" customHeight="true" outlineLevel="0" collapsed="false">
      <c r="A40" s="12" t="n">
        <v>36</v>
      </c>
      <c r="B40" s="13" t="n">
        <v>45499</v>
      </c>
      <c r="C40" s="12" t="s">
        <v>8</v>
      </c>
      <c r="D40" s="15" t="n">
        <v>6358.03</v>
      </c>
      <c r="E40" s="16" t="n">
        <v>0.3054</v>
      </c>
      <c r="F40" s="14" t="n">
        <v>2000</v>
      </c>
      <c r="G40" s="14" t="n">
        <f aca="false">G39+F40</f>
        <v>282000</v>
      </c>
    </row>
    <row r="41" customFormat="false" ht="15" hidden="false" customHeight="true" outlineLevel="0" collapsed="false">
      <c r="A41" s="12" t="n">
        <v>37</v>
      </c>
      <c r="B41" s="13" t="n">
        <v>45505</v>
      </c>
      <c r="C41" s="12" t="s">
        <v>9</v>
      </c>
      <c r="D41" s="15" t="n">
        <v>77.58</v>
      </c>
      <c r="E41" s="16" t="n">
        <v>438.007</v>
      </c>
      <c r="F41" s="14" t="n">
        <v>35000</v>
      </c>
      <c r="G41" s="14" t="n">
        <f aca="false">G40+F41</f>
        <v>317000</v>
      </c>
    </row>
    <row r="42" customFormat="false" ht="15" hidden="false" customHeight="true" outlineLevel="0" collapsed="false">
      <c r="A42" s="12" t="n">
        <v>38</v>
      </c>
      <c r="B42" s="13" t="n">
        <v>45511</v>
      </c>
      <c r="C42" s="12" t="s">
        <v>8</v>
      </c>
      <c r="D42" s="15" t="n">
        <v>6347.37</v>
      </c>
      <c r="E42" s="16" t="n">
        <v>0.6118</v>
      </c>
      <c r="F42" s="14" t="n">
        <v>4000</v>
      </c>
      <c r="G42" s="14" t="n">
        <f aca="false">G41+F42</f>
        <v>321000</v>
      </c>
    </row>
    <row r="43" customFormat="false" ht="15" hidden="false" customHeight="true" outlineLevel="0" collapsed="false">
      <c r="A43" s="12" t="n">
        <v>39</v>
      </c>
      <c r="B43" s="13" t="n">
        <v>45512</v>
      </c>
      <c r="C43" s="12" t="s">
        <v>8</v>
      </c>
      <c r="D43" s="15" t="n">
        <v>6253.14</v>
      </c>
      <c r="E43" s="16" t="n">
        <v>0.3882</v>
      </c>
      <c r="F43" s="14" t="n">
        <v>2500</v>
      </c>
      <c r="G43" s="14" t="n">
        <f aca="false">G42+F43</f>
        <v>323500</v>
      </c>
    </row>
    <row r="44" customFormat="false" ht="15" hidden="false" customHeight="true" outlineLevel="0" collapsed="false">
      <c r="A44" s="12" t="n">
        <v>40</v>
      </c>
      <c r="B44" s="13" t="n">
        <v>45513</v>
      </c>
      <c r="C44" s="12" t="s">
        <v>9</v>
      </c>
      <c r="D44" s="15" t="n">
        <v>78.72</v>
      </c>
      <c r="E44" s="16" t="n">
        <v>184.9989</v>
      </c>
      <c r="F44" s="14" t="n">
        <v>15000</v>
      </c>
      <c r="G44" s="14" t="n">
        <f aca="false">G43+F44</f>
        <v>338500</v>
      </c>
    </row>
    <row r="45" customFormat="false" ht="15" hidden="false" customHeight="true" outlineLevel="0" collapsed="false">
      <c r="A45" s="12" t="n">
        <v>41</v>
      </c>
      <c r="B45" s="13" t="n">
        <v>45516</v>
      </c>
      <c r="C45" s="12" t="s">
        <v>9</v>
      </c>
      <c r="D45" s="15" t="n">
        <v>77.28</v>
      </c>
      <c r="E45" s="16" t="n">
        <v>50.2523</v>
      </c>
      <c r="F45" s="14" t="n">
        <v>4000</v>
      </c>
      <c r="G45" s="14" t="n">
        <f aca="false">G44+F45</f>
        <v>342500</v>
      </c>
    </row>
    <row r="46" customFormat="false" ht="15" hidden="false" customHeight="true" outlineLevel="0" collapsed="false">
      <c r="A46" s="12" t="n">
        <v>42</v>
      </c>
      <c r="B46" s="13" t="n">
        <v>45520</v>
      </c>
      <c r="C46" s="12" t="s">
        <v>9</v>
      </c>
      <c r="D46" s="15" t="n">
        <v>73.19</v>
      </c>
      <c r="E46" s="16" t="n">
        <v>19.8977</v>
      </c>
      <c r="F46" s="14" t="n">
        <v>1500</v>
      </c>
      <c r="G46" s="14" t="n">
        <f aca="false">G45+F46</f>
        <v>344000</v>
      </c>
    </row>
    <row r="47" customFormat="false" ht="15" hidden="false" customHeight="true" outlineLevel="0" collapsed="false">
      <c r="A47" s="12" t="n">
        <v>43</v>
      </c>
      <c r="B47" s="13" t="n">
        <v>45522</v>
      </c>
      <c r="C47" s="12" t="s">
        <v>8</v>
      </c>
      <c r="D47" s="15" t="n">
        <v>6360.46</v>
      </c>
      <c r="E47" s="16" t="n">
        <v>3.0528</v>
      </c>
      <c r="F47" s="14" t="n">
        <v>20000</v>
      </c>
      <c r="G47" s="14" t="n">
        <f aca="false">G46+F47</f>
        <v>364000</v>
      </c>
    </row>
    <row r="48" customFormat="false" ht="15" hidden="false" customHeight="true" outlineLevel="0" collapsed="false">
      <c r="A48" s="12" t="n">
        <v>44</v>
      </c>
      <c r="B48" s="13" t="n">
        <v>45522</v>
      </c>
      <c r="C48" s="12" t="s">
        <v>8</v>
      </c>
      <c r="D48" s="15" t="n">
        <v>6564.78</v>
      </c>
      <c r="E48" s="16" t="n">
        <v>2.9578</v>
      </c>
      <c r="F48" s="14" t="n">
        <v>20000</v>
      </c>
      <c r="G48" s="14" t="n">
        <f aca="false">G47+F48</f>
        <v>384000</v>
      </c>
    </row>
    <row r="49" customFormat="false" ht="15" hidden="false" customHeight="true" outlineLevel="0" collapsed="false">
      <c r="A49" s="12" t="n">
        <v>45</v>
      </c>
      <c r="B49" s="13" t="n">
        <v>45528</v>
      </c>
      <c r="C49" s="12" t="s">
        <v>8</v>
      </c>
      <c r="D49" s="15" t="n">
        <v>6233.84</v>
      </c>
      <c r="E49" s="16" t="n">
        <v>1.1681</v>
      </c>
      <c r="F49" s="14" t="n">
        <v>7500</v>
      </c>
      <c r="G49" s="14" t="n">
        <f aca="false">G48+F49</f>
        <v>391500</v>
      </c>
    </row>
    <row r="50" customFormat="false" ht="15" hidden="false" customHeight="true" outlineLevel="0" collapsed="false">
      <c r="A50" s="12" t="n">
        <v>46</v>
      </c>
      <c r="B50" s="13" t="n">
        <v>45536</v>
      </c>
      <c r="C50" s="12" t="s">
        <v>9</v>
      </c>
      <c r="D50" s="15" t="n">
        <v>78.08</v>
      </c>
      <c r="E50" s="16" t="n">
        <v>12.4343</v>
      </c>
      <c r="F50" s="14" t="n">
        <v>1000</v>
      </c>
      <c r="G50" s="14" t="n">
        <f aca="false">G49+F50</f>
        <v>392500</v>
      </c>
    </row>
    <row r="51" customFormat="false" ht="15" hidden="false" customHeight="true" outlineLevel="0" collapsed="false">
      <c r="A51" s="12" t="n">
        <v>47</v>
      </c>
      <c r="B51" s="13" t="n">
        <v>45540</v>
      </c>
      <c r="C51" s="12" t="s">
        <v>8</v>
      </c>
      <c r="D51" s="15" t="n">
        <v>6315.03</v>
      </c>
      <c r="E51" s="16" t="n">
        <v>1.2299</v>
      </c>
      <c r="F51" s="14" t="n">
        <v>8000</v>
      </c>
      <c r="G51" s="14" t="n">
        <f aca="false">G50+F51</f>
        <v>400500</v>
      </c>
    </row>
    <row r="52" customFormat="false" ht="15" hidden="false" customHeight="true" outlineLevel="0" collapsed="false">
      <c r="A52" s="12" t="n">
        <v>48</v>
      </c>
      <c r="B52" s="13" t="n">
        <v>45547</v>
      </c>
      <c r="C52" s="12" t="s">
        <v>9</v>
      </c>
      <c r="D52" s="15" t="n">
        <v>76.52</v>
      </c>
      <c r="E52" s="16" t="n">
        <v>19.0318</v>
      </c>
      <c r="F52" s="14" t="n">
        <v>1500</v>
      </c>
      <c r="G52" s="14" t="n">
        <f aca="false">G51+F52</f>
        <v>402000</v>
      </c>
    </row>
    <row r="53" customFormat="false" ht="15" hidden="false" customHeight="true" outlineLevel="0" collapsed="false">
      <c r="A53" s="12" t="n">
        <v>49</v>
      </c>
      <c r="B53" s="13" t="n">
        <v>45550</v>
      </c>
      <c r="C53" s="12" t="s">
        <v>9</v>
      </c>
      <c r="D53" s="15" t="n">
        <v>73.96</v>
      </c>
      <c r="E53" s="16" t="n">
        <v>157.5242</v>
      </c>
      <c r="F53" s="14" t="n">
        <v>12000</v>
      </c>
      <c r="G53" s="14" t="n">
        <f aca="false">G52+F53</f>
        <v>414000</v>
      </c>
    </row>
    <row r="54" customFormat="false" ht="15" hidden="false" customHeight="true" outlineLevel="0" collapsed="false">
      <c r="A54" s="12" t="n">
        <v>50</v>
      </c>
      <c r="B54" s="13" t="n">
        <v>45557</v>
      </c>
      <c r="C54" s="12" t="s">
        <v>9</v>
      </c>
      <c r="D54" s="15" t="n">
        <v>76.79</v>
      </c>
      <c r="E54" s="16" t="n">
        <v>442.5131</v>
      </c>
      <c r="F54" s="14" t="n">
        <v>35000</v>
      </c>
      <c r="G54" s="14" t="n">
        <f aca="false">G53+F54</f>
        <v>449000</v>
      </c>
    </row>
    <row r="55" customFormat="false" ht="15" hidden="false" customHeight="true" outlineLevel="0" collapsed="false">
      <c r="A55" s="12" t="n">
        <v>51</v>
      </c>
      <c r="B55" s="13" t="n">
        <v>45563</v>
      </c>
      <c r="C55" s="12" t="s">
        <v>8</v>
      </c>
      <c r="D55" s="15" t="n">
        <v>6567.93</v>
      </c>
      <c r="E55" s="16" t="n">
        <v>1.1826</v>
      </c>
      <c r="F55" s="14" t="n">
        <v>8000</v>
      </c>
      <c r="G55" s="14" t="n">
        <f aca="false">G54+F55</f>
        <v>457000</v>
      </c>
    </row>
    <row r="56" customFormat="false" ht="15" hidden="false" customHeight="true" outlineLevel="0" collapsed="false">
      <c r="A56" s="12" t="n">
        <v>52</v>
      </c>
      <c r="B56" s="13" t="n">
        <v>45564</v>
      </c>
      <c r="C56" s="12" t="s">
        <v>8</v>
      </c>
      <c r="D56" s="15" t="n">
        <v>6607.77</v>
      </c>
      <c r="E56" s="16" t="n">
        <v>0.3673</v>
      </c>
      <c r="F56" s="14" t="n">
        <v>2500</v>
      </c>
      <c r="G56" s="14" t="n">
        <f aca="false">G55+F56</f>
        <v>459500</v>
      </c>
    </row>
    <row r="57" customFormat="false" ht="15" hidden="false" customHeight="true" outlineLevel="0" collapsed="false">
      <c r="A57" s="12" t="n">
        <v>53</v>
      </c>
      <c r="B57" s="13" t="n">
        <v>45571</v>
      </c>
      <c r="C57" s="12" t="s">
        <v>9</v>
      </c>
      <c r="D57" s="15" t="n">
        <v>74.94</v>
      </c>
      <c r="E57" s="16" t="n">
        <v>129.5535</v>
      </c>
      <c r="F57" s="14" t="n">
        <v>10000</v>
      </c>
      <c r="G57" s="14" t="n">
        <f aca="false">G56+F57</f>
        <v>469500</v>
      </c>
    </row>
    <row r="58" customFormat="false" ht="15" hidden="false" customHeight="true" outlineLevel="0" collapsed="false">
      <c r="A58" s="12" t="n">
        <v>54</v>
      </c>
      <c r="B58" s="13" t="n">
        <v>45573</v>
      </c>
      <c r="C58" s="12" t="s">
        <v>8</v>
      </c>
      <c r="D58" s="15" t="n">
        <v>6409.48</v>
      </c>
      <c r="E58" s="16" t="n">
        <v>0.1515</v>
      </c>
      <c r="F58" s="14" t="n">
        <v>1000</v>
      </c>
      <c r="G58" s="14" t="n">
        <f aca="false">G57+F58</f>
        <v>470500</v>
      </c>
    </row>
    <row r="59" customFormat="false" ht="15" hidden="false" customHeight="true" outlineLevel="0" collapsed="false">
      <c r="A59" s="12" t="n">
        <v>55</v>
      </c>
      <c r="B59" s="13" t="n">
        <v>45574</v>
      </c>
      <c r="C59" s="12" t="s">
        <v>8</v>
      </c>
      <c r="D59" s="15" t="n">
        <v>6697.82</v>
      </c>
      <c r="E59" s="16" t="n">
        <v>2.1743</v>
      </c>
      <c r="F59" s="14" t="n">
        <v>15000</v>
      </c>
      <c r="G59" s="14" t="n">
        <f aca="false">G58+F59</f>
        <v>485500</v>
      </c>
    </row>
    <row r="60" customFormat="false" ht="15" hidden="false" customHeight="true" outlineLevel="0" collapsed="false">
      <c r="A60" s="12" t="n">
        <v>56</v>
      </c>
      <c r="B60" s="13" t="n">
        <v>45581</v>
      </c>
      <c r="C60" s="12" t="s">
        <v>8</v>
      </c>
      <c r="D60" s="15" t="n">
        <v>6781.31</v>
      </c>
      <c r="E60" s="16" t="n">
        <v>1.4317</v>
      </c>
      <c r="F60" s="14" t="n">
        <v>10000</v>
      </c>
      <c r="G60" s="14" t="n">
        <f aca="false">G59+F60</f>
        <v>495500</v>
      </c>
    </row>
    <row r="61" customFormat="false" ht="15" hidden="false" customHeight="true" outlineLevel="0" collapsed="false">
      <c r="A61" s="12" t="n">
        <v>57</v>
      </c>
      <c r="B61" s="13" t="n">
        <v>45584</v>
      </c>
      <c r="C61" s="12" t="s">
        <v>9</v>
      </c>
      <c r="D61" s="15" t="n">
        <v>78.5</v>
      </c>
      <c r="E61" s="16" t="n">
        <v>148.4139</v>
      </c>
      <c r="F61" s="14" t="n">
        <v>12000</v>
      </c>
      <c r="G61" s="14" t="n">
        <f aca="false">G60+F61</f>
        <v>507500</v>
      </c>
    </row>
    <row r="62" customFormat="false" ht="15" hidden="false" customHeight="true" outlineLevel="0" collapsed="false">
      <c r="A62" s="12" t="n">
        <v>58</v>
      </c>
      <c r="B62" s="13" t="n">
        <v>45587</v>
      </c>
      <c r="C62" s="12" t="s">
        <v>9</v>
      </c>
      <c r="D62" s="15" t="n">
        <v>75.19</v>
      </c>
      <c r="E62" s="16" t="n">
        <v>258.2455</v>
      </c>
      <c r="F62" s="14" t="n">
        <v>20000</v>
      </c>
      <c r="G62" s="14" t="n">
        <f aca="false">G61+F62</f>
        <v>527500</v>
      </c>
    </row>
    <row r="63" customFormat="false" ht="15" hidden="false" customHeight="true" outlineLevel="0" collapsed="false">
      <c r="A63" s="12" t="n">
        <v>59</v>
      </c>
      <c r="B63" s="13" t="n">
        <v>45601</v>
      </c>
      <c r="C63" s="12" t="s">
        <v>9</v>
      </c>
      <c r="D63" s="15" t="n">
        <v>82.38</v>
      </c>
      <c r="E63" s="16" t="n">
        <v>235.7062</v>
      </c>
      <c r="F63" s="14" t="n">
        <v>20000</v>
      </c>
      <c r="G63" s="14" t="n">
        <f aca="false">G62+F63</f>
        <v>547500</v>
      </c>
    </row>
    <row r="64" customFormat="false" ht="15" hidden="false" customHeight="true" outlineLevel="0" collapsed="false">
      <c r="A64" s="12" t="n">
        <v>60</v>
      </c>
      <c r="B64" s="13" t="n">
        <v>45602</v>
      </c>
      <c r="C64" s="12" t="s">
        <v>8</v>
      </c>
      <c r="D64" s="15" t="n">
        <v>6891.2</v>
      </c>
      <c r="E64" s="16" t="n">
        <v>0.4227</v>
      </c>
      <c r="F64" s="14" t="n">
        <v>3000</v>
      </c>
      <c r="G64" s="14" t="n">
        <f aca="false">G63+F64</f>
        <v>550500</v>
      </c>
    </row>
    <row r="65" customFormat="false" ht="15" hidden="false" customHeight="true" outlineLevel="0" collapsed="false">
      <c r="A65" s="12" t="n">
        <v>61</v>
      </c>
      <c r="B65" s="13" t="n">
        <v>45603</v>
      </c>
      <c r="C65" s="12" t="s">
        <v>9</v>
      </c>
      <c r="D65" s="15" t="n">
        <v>79.32</v>
      </c>
      <c r="E65" s="16" t="n">
        <v>244.7993</v>
      </c>
      <c r="F65" s="14" t="n">
        <v>20000</v>
      </c>
      <c r="G65" s="14" t="n">
        <f aca="false">G64+F65</f>
        <v>570500</v>
      </c>
    </row>
    <row r="66" customFormat="false" ht="15" hidden="false" customHeight="true" outlineLevel="0" collapsed="false">
      <c r="A66" s="12" t="n">
        <v>62</v>
      </c>
      <c r="B66" s="13" t="n">
        <v>45610</v>
      </c>
      <c r="C66" s="12" t="s">
        <v>8</v>
      </c>
      <c r="D66" s="15" t="n">
        <v>6798.1</v>
      </c>
      <c r="E66" s="16" t="n">
        <v>0.357</v>
      </c>
      <c r="F66" s="14" t="n">
        <v>2500</v>
      </c>
      <c r="G66" s="14" t="n">
        <f aca="false">G65+F66</f>
        <v>573000</v>
      </c>
    </row>
    <row r="67" customFormat="false" ht="15" hidden="false" customHeight="true" outlineLevel="0" collapsed="false">
      <c r="A67" s="12" t="n">
        <v>63</v>
      </c>
      <c r="B67" s="13" t="n">
        <v>45615</v>
      </c>
      <c r="C67" s="12" t="s">
        <v>8</v>
      </c>
      <c r="D67" s="15" t="n">
        <v>6855.78</v>
      </c>
      <c r="E67" s="16" t="n">
        <v>0.2124</v>
      </c>
      <c r="F67" s="14" t="n">
        <v>1500</v>
      </c>
      <c r="G67" s="14" t="n">
        <f aca="false">G66+F67</f>
        <v>574500</v>
      </c>
    </row>
    <row r="68" customFormat="false" ht="15" hidden="false" customHeight="true" outlineLevel="0" collapsed="false">
      <c r="A68" s="12" t="n">
        <v>64</v>
      </c>
      <c r="B68" s="13" t="n">
        <v>45622</v>
      </c>
      <c r="C68" s="12" t="s">
        <v>8</v>
      </c>
      <c r="D68" s="15" t="n">
        <v>6664.65</v>
      </c>
      <c r="E68" s="16" t="n">
        <v>0.437</v>
      </c>
      <c r="F68" s="14" t="n">
        <v>3000</v>
      </c>
      <c r="G68" s="14" t="n">
        <f aca="false">G67+F68</f>
        <v>577500</v>
      </c>
    </row>
    <row r="69" customFormat="false" ht="15" hidden="false" customHeight="true" outlineLevel="0" collapsed="false">
      <c r="A69" s="12" t="n">
        <v>65</v>
      </c>
      <c r="B69" s="13" t="n">
        <v>45627</v>
      </c>
      <c r="C69" s="12" t="s">
        <v>9</v>
      </c>
      <c r="D69" s="15" t="n">
        <v>77.42</v>
      </c>
      <c r="E69" s="16" t="n">
        <v>62.7018</v>
      </c>
      <c r="F69" s="14" t="n">
        <v>5000</v>
      </c>
      <c r="G69" s="14" t="n">
        <f aca="false">G68+F69</f>
        <v>582500</v>
      </c>
    </row>
    <row r="70" customFormat="false" ht="15" hidden="false" customHeight="true" outlineLevel="0" collapsed="false">
      <c r="A70" s="12" t="n">
        <v>66</v>
      </c>
      <c r="B70" s="13" t="n">
        <v>45643</v>
      </c>
      <c r="C70" s="12" t="s">
        <v>9</v>
      </c>
      <c r="D70" s="15" t="n">
        <v>82.64</v>
      </c>
      <c r="E70" s="16" t="n">
        <v>58.7412</v>
      </c>
      <c r="F70" s="14" t="n">
        <v>5000</v>
      </c>
      <c r="G70" s="14" t="n">
        <f aca="false">G69+F70</f>
        <v>587500</v>
      </c>
    </row>
    <row r="71" customFormat="false" ht="15" hidden="false" customHeight="true" outlineLevel="0" collapsed="false">
      <c r="A71" s="12" t="n">
        <v>67</v>
      </c>
      <c r="B71" s="13" t="n">
        <v>45644</v>
      </c>
      <c r="C71" s="12" t="s">
        <v>9</v>
      </c>
      <c r="D71" s="15" t="n">
        <v>78.85</v>
      </c>
      <c r="E71" s="16" t="n">
        <v>18.4694</v>
      </c>
      <c r="F71" s="14" t="n">
        <v>1500</v>
      </c>
      <c r="G71" s="14" t="n">
        <f aca="false">G70+F71</f>
        <v>589000</v>
      </c>
    </row>
    <row r="72" customFormat="false" ht="15" hidden="false" customHeight="true" outlineLevel="0" collapsed="false">
      <c r="A72" s="12" t="n">
        <v>68</v>
      </c>
      <c r="B72" s="13" t="n">
        <v>45646</v>
      </c>
      <c r="C72" s="12" t="s">
        <v>8</v>
      </c>
      <c r="D72" s="15" t="n">
        <v>7071.34</v>
      </c>
      <c r="E72" s="16" t="n">
        <v>1.0297</v>
      </c>
      <c r="F72" s="14" t="n">
        <v>7500</v>
      </c>
      <c r="G72" s="14" t="n">
        <f aca="false">G71+F72</f>
        <v>596500</v>
      </c>
    </row>
    <row r="73" customFormat="false" ht="15" hidden="false" customHeight="true" outlineLevel="0" collapsed="false">
      <c r="A73" s="12" t="n">
        <v>69</v>
      </c>
      <c r="B73" s="13" t="n">
        <v>45648</v>
      </c>
      <c r="C73" s="12" t="s">
        <v>8</v>
      </c>
      <c r="D73" s="15" t="n">
        <v>7076.54</v>
      </c>
      <c r="E73" s="16" t="n">
        <v>4.1159</v>
      </c>
      <c r="F73" s="14" t="n">
        <v>30000</v>
      </c>
      <c r="G73" s="14" t="n">
        <f aca="false">G72+F73</f>
        <v>626500</v>
      </c>
    </row>
    <row r="74" customFormat="false" ht="15" hidden="false" customHeight="true" outlineLevel="0" collapsed="false">
      <c r="A74" s="12" t="n">
        <v>70</v>
      </c>
      <c r="B74" s="13" t="n">
        <v>45648</v>
      </c>
      <c r="C74" s="12" t="s">
        <v>8</v>
      </c>
      <c r="D74" s="15" t="n">
        <v>6682.55</v>
      </c>
      <c r="E74" s="16" t="n">
        <v>0.2906</v>
      </c>
      <c r="F74" s="14" t="n">
        <v>2000</v>
      </c>
      <c r="G74" s="14" t="n">
        <f aca="false">G73+F74</f>
        <v>628500</v>
      </c>
    </row>
    <row r="75" customFormat="false" ht="15" hidden="false" customHeight="true" outlineLevel="0" collapsed="false">
      <c r="A75" s="12" t="n">
        <v>71</v>
      </c>
      <c r="B75" s="13" t="n">
        <v>45654</v>
      </c>
      <c r="C75" s="12" t="s">
        <v>9</v>
      </c>
      <c r="D75" s="15" t="n">
        <v>78.63</v>
      </c>
      <c r="E75" s="16" t="n">
        <v>98.779</v>
      </c>
      <c r="F75" s="14" t="n">
        <v>8000</v>
      </c>
      <c r="G75" s="14" t="n">
        <f aca="false">G74+F75</f>
        <v>636500</v>
      </c>
    </row>
    <row r="76" customFormat="false" ht="15" hidden="false" customHeight="true" outlineLevel="0" collapsed="false">
      <c r="A76" s="12" t="n">
        <v>72</v>
      </c>
      <c r="B76" s="13" t="n">
        <v>45669</v>
      </c>
      <c r="C76" s="12" t="s">
        <v>8</v>
      </c>
      <c r="D76" s="15" t="n">
        <v>6844.46</v>
      </c>
      <c r="E76" s="16" t="n">
        <v>0.2128</v>
      </c>
      <c r="F76" s="14" t="n">
        <v>1500</v>
      </c>
      <c r="G76" s="14" t="n">
        <f aca="false">G75+F76</f>
        <v>638000</v>
      </c>
    </row>
    <row r="77" customFormat="false" ht="15" hidden="false" customHeight="true" outlineLevel="0" collapsed="false">
      <c r="A77" s="12" t="n">
        <v>73</v>
      </c>
      <c r="B77" s="13" t="n">
        <v>45670</v>
      </c>
      <c r="C77" s="12" t="s">
        <v>8</v>
      </c>
      <c r="D77" s="15" t="n">
        <v>7060.29</v>
      </c>
      <c r="E77" s="16" t="n">
        <v>1.0313</v>
      </c>
      <c r="F77" s="14" t="n">
        <v>7500</v>
      </c>
      <c r="G77" s="14" t="n">
        <f aca="false">G76+F77</f>
        <v>645500</v>
      </c>
    </row>
    <row r="78" customFormat="false" ht="15" hidden="false" customHeight="true" outlineLevel="0" collapsed="false">
      <c r="A78" s="12" t="n">
        <v>74</v>
      </c>
      <c r="B78" s="13" t="n">
        <v>45681</v>
      </c>
      <c r="C78" s="12" t="s">
        <v>9</v>
      </c>
      <c r="D78" s="15" t="n">
        <v>79.45</v>
      </c>
      <c r="E78" s="16" t="n">
        <v>97.7595</v>
      </c>
      <c r="F78" s="14" t="n">
        <v>8000</v>
      </c>
      <c r="G78" s="14" t="n">
        <f aca="false">G77+F78</f>
        <v>653500</v>
      </c>
    </row>
    <row r="79" customFormat="false" ht="15" hidden="false" customHeight="true" outlineLevel="0" collapsed="false">
      <c r="A79" s="12" t="n">
        <v>75</v>
      </c>
      <c r="B79" s="13" t="n">
        <v>45689</v>
      </c>
      <c r="C79" s="12" t="s">
        <v>8</v>
      </c>
      <c r="D79" s="15" t="n">
        <v>7245.13</v>
      </c>
      <c r="E79" s="16" t="n">
        <v>1.34</v>
      </c>
      <c r="F79" s="14" t="n">
        <v>10000</v>
      </c>
      <c r="G79" s="14" t="n">
        <f aca="false">G78+F79</f>
        <v>663500</v>
      </c>
    </row>
    <row r="80" customFormat="false" ht="15" hidden="false" customHeight="true" outlineLevel="0" collapsed="false">
      <c r="A80" s="12" t="n">
        <v>76</v>
      </c>
      <c r="B80" s="13" t="n">
        <v>45689</v>
      </c>
      <c r="C80" s="12" t="s">
        <v>8</v>
      </c>
      <c r="D80" s="15" t="n">
        <v>7197.71</v>
      </c>
      <c r="E80" s="16" t="n">
        <v>0.8093</v>
      </c>
      <c r="F80" s="14" t="n">
        <v>6000</v>
      </c>
      <c r="G80" s="14" t="n">
        <f aca="false">G79+F80</f>
        <v>669500</v>
      </c>
    </row>
    <row r="81" customFormat="false" ht="15" hidden="false" customHeight="true" outlineLevel="0" collapsed="false">
      <c r="A81" s="12" t="n">
        <v>77</v>
      </c>
      <c r="B81" s="13" t="n">
        <v>45696</v>
      </c>
      <c r="C81" s="12" t="s">
        <v>9</v>
      </c>
      <c r="D81" s="15" t="n">
        <v>87.18</v>
      </c>
      <c r="E81" s="16" t="n">
        <v>278.4106</v>
      </c>
      <c r="F81" s="14" t="n">
        <v>25000</v>
      </c>
      <c r="G81" s="14" t="n">
        <f aca="false">G80+F81</f>
        <v>694500</v>
      </c>
    </row>
    <row r="82" customFormat="false" ht="15" hidden="false" customHeight="true" outlineLevel="0" collapsed="false">
      <c r="A82" s="12" t="n">
        <v>78</v>
      </c>
      <c r="B82" s="13" t="n">
        <v>45697</v>
      </c>
      <c r="C82" s="12" t="s">
        <v>8</v>
      </c>
      <c r="D82" s="15" t="n">
        <v>7138.83</v>
      </c>
      <c r="E82" s="16" t="n">
        <v>0.68</v>
      </c>
      <c r="F82" s="14" t="n">
        <v>5000</v>
      </c>
      <c r="G82" s="14" t="n">
        <f aca="false">G81+F82</f>
        <v>699500</v>
      </c>
    </row>
    <row r="83" customFormat="false" ht="15" hidden="false" customHeight="true" outlineLevel="0" collapsed="false">
      <c r="A83" s="12" t="n">
        <v>79</v>
      </c>
      <c r="B83" s="13" t="n">
        <v>45697</v>
      </c>
      <c r="C83" s="12" t="s">
        <v>8</v>
      </c>
      <c r="D83" s="15" t="n">
        <v>7051.32</v>
      </c>
      <c r="E83" s="16" t="n">
        <v>0.2065</v>
      </c>
      <c r="F83" s="14" t="n">
        <v>1500</v>
      </c>
      <c r="G83" s="14" t="n">
        <f aca="false">G82+F83</f>
        <v>701000</v>
      </c>
    </row>
    <row r="84" customFormat="false" ht="15" hidden="false" customHeight="true" outlineLevel="0" collapsed="false">
      <c r="A84" s="12" t="n">
        <v>80</v>
      </c>
      <c r="B84" s="13" t="n">
        <v>45709</v>
      </c>
      <c r="C84" s="12" t="s">
        <v>8</v>
      </c>
      <c r="D84" s="15" t="n">
        <v>6954.67</v>
      </c>
      <c r="E84" s="16" t="n">
        <v>0.349</v>
      </c>
      <c r="F84" s="14" t="n">
        <v>2500</v>
      </c>
      <c r="G84" s="14" t="n">
        <f aca="false">G83+F84</f>
        <v>703500</v>
      </c>
    </row>
    <row r="85" customFormat="false" ht="15" hidden="false" customHeight="true" outlineLevel="0" collapsed="false">
      <c r="A85" s="12" t="n">
        <v>81</v>
      </c>
      <c r="B85" s="13" t="n">
        <v>45721</v>
      </c>
      <c r="C85" s="12" t="s">
        <v>9</v>
      </c>
      <c r="D85" s="15" t="n">
        <v>89.3</v>
      </c>
      <c r="E85" s="16" t="n">
        <v>108.7205</v>
      </c>
      <c r="F85" s="14" t="n">
        <v>10000</v>
      </c>
      <c r="G85" s="14" t="n">
        <f aca="false">G84+F85</f>
        <v>713500</v>
      </c>
    </row>
    <row r="86" customFormat="false" ht="15" hidden="false" customHeight="true" outlineLevel="0" collapsed="false">
      <c r="A86" s="12" t="n">
        <v>82</v>
      </c>
      <c r="B86" s="13" t="n">
        <v>45725</v>
      </c>
      <c r="C86" s="12" t="s">
        <v>9</v>
      </c>
      <c r="D86" s="15" t="n">
        <v>89.46</v>
      </c>
      <c r="E86" s="16" t="n">
        <v>108.526</v>
      </c>
      <c r="F86" s="14" t="n">
        <v>10000</v>
      </c>
      <c r="G86" s="14" t="n">
        <f aca="false">G85+F86</f>
        <v>723500</v>
      </c>
    </row>
    <row r="87" customFormat="false" ht="15" hidden="false" customHeight="true" outlineLevel="0" collapsed="false">
      <c r="A87" s="12" t="n">
        <v>83</v>
      </c>
      <c r="B87" s="13" t="n">
        <v>45733</v>
      </c>
      <c r="C87" s="12" t="s">
        <v>9</v>
      </c>
      <c r="D87" s="15" t="n">
        <v>84.77</v>
      </c>
      <c r="E87" s="16" t="n">
        <v>68.7182</v>
      </c>
      <c r="F87" s="14" t="n">
        <v>6000</v>
      </c>
      <c r="G87" s="14" t="n">
        <f aca="false">G86+F87</f>
        <v>729500</v>
      </c>
    </row>
    <row r="88" customFormat="false" ht="15" hidden="false" customHeight="true" outlineLevel="0" collapsed="false">
      <c r="A88" s="12" t="n">
        <v>84</v>
      </c>
      <c r="B88" s="13" t="n">
        <v>45755</v>
      </c>
      <c r="C88" s="12" t="s">
        <v>8</v>
      </c>
      <c r="D88" s="15" t="n">
        <v>7157.94</v>
      </c>
      <c r="E88" s="16" t="n">
        <v>0.2035</v>
      </c>
      <c r="F88" s="14" t="n">
        <v>1500</v>
      </c>
      <c r="G88" s="14" t="n">
        <f aca="false">G87+F88</f>
        <v>731000</v>
      </c>
    </row>
    <row r="89" customFormat="false" ht="15" hidden="false" customHeight="true" outlineLevel="0" collapsed="false">
      <c r="A89" s="12" t="n">
        <v>85</v>
      </c>
      <c r="B89" s="13" t="n">
        <v>45759</v>
      </c>
      <c r="C89" s="12" t="s">
        <v>9</v>
      </c>
      <c r="D89" s="15" t="n">
        <v>91.06</v>
      </c>
      <c r="E89" s="16" t="n">
        <v>159.9287</v>
      </c>
      <c r="F89" s="14" t="n">
        <v>15000</v>
      </c>
      <c r="G89" s="14" t="n">
        <f aca="false">G88+F89</f>
        <v>746000</v>
      </c>
    </row>
    <row r="90" customFormat="false" ht="15" hidden="false" customHeight="true" outlineLevel="0" collapsed="false">
      <c r="A90" s="12" t="n">
        <v>86</v>
      </c>
      <c r="B90" s="13" t="n">
        <v>45759</v>
      </c>
      <c r="C90" s="12" t="s">
        <v>9</v>
      </c>
      <c r="D90" s="15" t="n">
        <v>86.58</v>
      </c>
      <c r="E90" s="16" t="n">
        <v>392.4761</v>
      </c>
      <c r="F90" s="14" t="n">
        <v>35000</v>
      </c>
      <c r="G90" s="14" t="n">
        <f aca="false">G89+F90</f>
        <v>781000</v>
      </c>
    </row>
    <row r="91" customFormat="false" ht="15" hidden="false" customHeight="true" outlineLevel="0" collapsed="false">
      <c r="A91" s="12" t="n">
        <v>87</v>
      </c>
      <c r="B91" s="13" t="n">
        <v>45767</v>
      </c>
      <c r="C91" s="12" t="s">
        <v>8</v>
      </c>
      <c r="D91" s="15" t="n">
        <v>7346.99</v>
      </c>
      <c r="E91" s="16" t="n">
        <v>0.5286</v>
      </c>
      <c r="F91" s="14" t="n">
        <v>4000</v>
      </c>
      <c r="G91" s="14" t="n">
        <f aca="false">G90+F91</f>
        <v>785000</v>
      </c>
    </row>
    <row r="92" customFormat="false" ht="15" hidden="false" customHeight="true" outlineLevel="0" collapsed="false">
      <c r="A92" s="12" t="n">
        <v>88</v>
      </c>
      <c r="B92" s="13" t="n">
        <v>45768</v>
      </c>
      <c r="C92" s="12" t="s">
        <v>8</v>
      </c>
      <c r="D92" s="15" t="n">
        <v>7167.02</v>
      </c>
      <c r="E92" s="16" t="n">
        <v>1.3546</v>
      </c>
      <c r="F92" s="14" t="n">
        <v>10000</v>
      </c>
      <c r="G92" s="14" t="n">
        <f aca="false">G91+F92</f>
        <v>795000</v>
      </c>
    </row>
    <row r="93" customFormat="false" ht="15" hidden="false" customHeight="true" outlineLevel="0" collapsed="false">
      <c r="A93" s="12" t="n">
        <v>89</v>
      </c>
      <c r="B93" s="13" t="n">
        <v>45781</v>
      </c>
      <c r="C93" s="12" t="s">
        <v>8</v>
      </c>
      <c r="D93" s="15" t="n">
        <v>7404.39</v>
      </c>
      <c r="E93" s="16" t="n">
        <v>2.3602</v>
      </c>
      <c r="F93" s="14" t="n">
        <v>18000</v>
      </c>
      <c r="G93" s="14" t="n">
        <f aca="false">G92+F93</f>
        <v>813000</v>
      </c>
    </row>
    <row r="94" customFormat="false" ht="15" hidden="false" customHeight="true" outlineLevel="0" collapsed="false">
      <c r="A94" s="12" t="n">
        <v>90</v>
      </c>
      <c r="B94" s="13" t="n">
        <v>45785</v>
      </c>
      <c r="C94" s="12" t="s">
        <v>9</v>
      </c>
      <c r="D94" s="15" t="n">
        <v>86.98</v>
      </c>
      <c r="E94" s="16" t="n">
        <v>66.9722</v>
      </c>
      <c r="F94" s="14" t="n">
        <v>6000</v>
      </c>
      <c r="G94" s="14" t="n">
        <f aca="false">G93+F94</f>
        <v>819000</v>
      </c>
    </row>
    <row r="95" customFormat="false" ht="15" hidden="false" customHeight="true" outlineLevel="0" collapsed="false">
      <c r="A95" s="12" t="n">
        <v>91</v>
      </c>
      <c r="B95" s="13" t="n">
        <v>45786</v>
      </c>
      <c r="C95" s="12" t="s">
        <v>9</v>
      </c>
      <c r="D95" s="15" t="n">
        <v>85.9</v>
      </c>
      <c r="E95" s="16" t="n">
        <v>22.6048</v>
      </c>
      <c r="F95" s="14" t="n">
        <v>2000</v>
      </c>
      <c r="G95" s="14" t="n">
        <f aca="false">G94+F95</f>
        <v>821000</v>
      </c>
    </row>
    <row r="96" customFormat="false" ht="15" hidden="false" customHeight="true" outlineLevel="0" collapsed="false">
      <c r="A96" s="12" t="n">
        <v>92</v>
      </c>
      <c r="B96" s="13" t="n">
        <v>45786</v>
      </c>
      <c r="C96" s="12" t="s">
        <v>9</v>
      </c>
      <c r="D96" s="15" t="n">
        <v>84.83</v>
      </c>
      <c r="E96" s="16" t="n">
        <v>45.7798</v>
      </c>
      <c r="F96" s="14" t="n">
        <v>4000</v>
      </c>
      <c r="G96" s="14" t="n">
        <f aca="false">G95+F96</f>
        <v>825000</v>
      </c>
    </row>
    <row r="97" customFormat="false" ht="15" hidden="false" customHeight="true" outlineLevel="0" collapsed="false">
      <c r="A97" s="12" t="n">
        <v>93</v>
      </c>
      <c r="B97" s="13" t="n">
        <v>45792</v>
      </c>
      <c r="C97" s="12" t="s">
        <v>9</v>
      </c>
      <c r="D97" s="15" t="n">
        <v>84.39</v>
      </c>
      <c r="E97" s="16" t="n">
        <v>28.7615</v>
      </c>
      <c r="F97" s="14" t="n">
        <v>2500</v>
      </c>
      <c r="G97" s="14" t="n">
        <f aca="false">G96+F97</f>
        <v>827500</v>
      </c>
    </row>
    <row r="98" customFormat="false" ht="15" hidden="false" customHeight="true" outlineLevel="0" collapsed="false">
      <c r="A98" s="12" t="n">
        <v>94</v>
      </c>
      <c r="B98" s="13" t="n">
        <v>45793</v>
      </c>
      <c r="C98" s="12" t="s">
        <v>8</v>
      </c>
      <c r="D98" s="15" t="n">
        <v>7334.08</v>
      </c>
      <c r="E98" s="16" t="n">
        <v>1.3238</v>
      </c>
      <c r="F98" s="14" t="n">
        <v>10000</v>
      </c>
      <c r="G98" s="14" t="n">
        <f aca="false">G97+F98</f>
        <v>837500</v>
      </c>
    </row>
    <row r="99" customFormat="false" ht="15" hidden="false" customHeight="true" outlineLevel="0" collapsed="false">
      <c r="A99" s="12" t="n">
        <v>95</v>
      </c>
      <c r="B99" s="13" t="n">
        <v>45797</v>
      </c>
      <c r="C99" s="12" t="s">
        <v>8</v>
      </c>
      <c r="D99" s="15" t="n">
        <v>7460.93</v>
      </c>
      <c r="E99" s="16" t="n">
        <v>0.976</v>
      </c>
      <c r="F99" s="14" t="n">
        <v>7500</v>
      </c>
      <c r="G99" s="14" t="n">
        <f aca="false">G98+F99</f>
        <v>845000</v>
      </c>
    </row>
    <row r="100" customFormat="false" ht="15" hidden="false" customHeight="true" outlineLevel="0" collapsed="false">
      <c r="A100" s="12" t="n">
        <v>96</v>
      </c>
      <c r="B100" s="13" t="n">
        <v>45799</v>
      </c>
      <c r="C100" s="12" t="s">
        <v>9</v>
      </c>
      <c r="D100" s="15" t="n">
        <v>85.93</v>
      </c>
      <c r="E100" s="16" t="n">
        <v>56.4921</v>
      </c>
      <c r="F100" s="14" t="n">
        <v>5000</v>
      </c>
      <c r="G100" s="14" t="n">
        <f aca="false">G99+F100</f>
        <v>850000</v>
      </c>
    </row>
    <row r="101" customFormat="false" ht="15" hidden="false" customHeight="true" outlineLevel="0" collapsed="false">
      <c r="A101" s="12" t="n">
        <v>97</v>
      </c>
      <c r="B101" s="13" t="n">
        <v>45802</v>
      </c>
      <c r="C101" s="12" t="s">
        <v>9</v>
      </c>
      <c r="D101" s="15" t="n">
        <v>87.56</v>
      </c>
      <c r="E101" s="16" t="n">
        <v>221.762</v>
      </c>
      <c r="F101" s="14" t="n">
        <v>20000</v>
      </c>
      <c r="G101" s="14" t="n">
        <f aca="false">G100+F101</f>
        <v>870000</v>
      </c>
    </row>
    <row r="102" customFormat="false" ht="15" hidden="false" customHeight="true" outlineLevel="0" collapsed="false">
      <c r="A102" s="12" t="n">
        <v>98</v>
      </c>
      <c r="B102" s="13" t="n">
        <v>45803</v>
      </c>
      <c r="C102" s="12" t="s">
        <v>9</v>
      </c>
      <c r="D102" s="15" t="n">
        <v>86.92</v>
      </c>
      <c r="E102" s="16" t="n">
        <v>44.679</v>
      </c>
      <c r="F102" s="14" t="n">
        <v>4000</v>
      </c>
      <c r="G102" s="14" t="n">
        <f aca="false">G101+F102</f>
        <v>874000</v>
      </c>
    </row>
    <row r="103" customFormat="false" ht="15" hidden="false" customHeight="true" outlineLevel="0" collapsed="false">
      <c r="A103" s="12" t="n">
        <v>99</v>
      </c>
      <c r="B103" s="13" t="n">
        <v>45803</v>
      </c>
      <c r="C103" s="12" t="s">
        <v>9</v>
      </c>
      <c r="D103" s="15" t="n">
        <v>88.58</v>
      </c>
      <c r="E103" s="16" t="n">
        <v>219.2084</v>
      </c>
      <c r="F103" s="14" t="n">
        <v>20000</v>
      </c>
      <c r="G103" s="14" t="n">
        <f aca="false">G102+F103</f>
        <v>894000</v>
      </c>
    </row>
    <row r="104" customFormat="false" ht="15" hidden="false" customHeight="true" outlineLevel="0" collapsed="false">
      <c r="A104" s="12" t="n">
        <v>100</v>
      </c>
      <c r="B104" s="13" t="n">
        <v>45805</v>
      </c>
      <c r="C104" s="12" t="s">
        <v>9</v>
      </c>
      <c r="D104" s="15" t="n">
        <v>86.37</v>
      </c>
      <c r="E104" s="16" t="n">
        <v>84.3065</v>
      </c>
      <c r="F104" s="14" t="n">
        <v>7500</v>
      </c>
      <c r="G104" s="14" t="n">
        <f aca="false">G103+F104</f>
        <v>901500</v>
      </c>
    </row>
    <row r="105" customFormat="false" ht="15" hidden="false" customHeight="true" outlineLevel="0" collapsed="false">
      <c r="A105" s="12" t="n">
        <v>101</v>
      </c>
      <c r="B105" s="13" t="n">
        <v>45814</v>
      </c>
      <c r="C105" s="12" t="s">
        <v>9</v>
      </c>
      <c r="D105" s="15" t="n">
        <v>88.83</v>
      </c>
      <c r="E105" s="16" t="n">
        <v>65.5774</v>
      </c>
      <c r="F105" s="14" t="n">
        <v>6000</v>
      </c>
      <c r="G105" s="14" t="n">
        <f aca="false">G104+F105</f>
        <v>907500</v>
      </c>
    </row>
    <row r="106" customFormat="false" ht="15" hidden="false" customHeight="true" outlineLevel="0" collapsed="false">
      <c r="A106" s="12" t="n">
        <v>102</v>
      </c>
      <c r="B106" s="13" t="n">
        <v>45825</v>
      </c>
      <c r="C106" s="12" t="s">
        <v>8</v>
      </c>
      <c r="D106" s="15" t="n">
        <v>7418.6</v>
      </c>
      <c r="E106" s="16" t="n">
        <v>3.2718</v>
      </c>
      <c r="F106" s="14" t="n">
        <v>25000</v>
      </c>
      <c r="G106" s="14" t="n">
        <f aca="false">G105+F106</f>
        <v>932500</v>
      </c>
    </row>
    <row r="107" customFormat="false" ht="15" hidden="false" customHeight="true" outlineLevel="0" collapsed="false">
      <c r="A107" s="12" t="n">
        <v>103</v>
      </c>
      <c r="B107" s="13" t="n">
        <v>45826</v>
      </c>
      <c r="C107" s="12" t="s">
        <v>8</v>
      </c>
      <c r="D107" s="15" t="n">
        <v>7605.46</v>
      </c>
      <c r="E107" s="16" t="n">
        <v>0.2553</v>
      </c>
      <c r="F107" s="14" t="n">
        <v>2000</v>
      </c>
      <c r="G107" s="14" t="n">
        <f aca="false">G106+F107</f>
        <v>934500</v>
      </c>
    </row>
    <row r="108" customFormat="false" ht="15" hidden="false" customHeight="true" outlineLevel="0" collapsed="false">
      <c r="A108" s="12" t="n">
        <v>104</v>
      </c>
      <c r="B108" s="13" t="n">
        <v>45832</v>
      </c>
      <c r="C108" s="12" t="s">
        <v>9</v>
      </c>
      <c r="D108" s="15" t="n">
        <v>93.68</v>
      </c>
      <c r="E108" s="16" t="n">
        <v>82.9098</v>
      </c>
      <c r="F108" s="14" t="n">
        <v>8000</v>
      </c>
      <c r="G108" s="14" t="n">
        <f aca="false">G107+F108</f>
        <v>942500</v>
      </c>
    </row>
    <row r="109" customFormat="false" ht="15" hidden="false" customHeight="true" outlineLevel="0" collapsed="false">
      <c r="A109" s="12" t="n">
        <v>105</v>
      </c>
      <c r="B109" s="13" t="n">
        <v>45833</v>
      </c>
      <c r="C109" s="12" t="s">
        <v>9</v>
      </c>
      <c r="D109" s="15" t="n">
        <v>92.81</v>
      </c>
      <c r="E109" s="16" t="n">
        <v>10.4608</v>
      </c>
      <c r="F109" s="14" t="n">
        <v>1000</v>
      </c>
      <c r="G109" s="14" t="n">
        <f aca="false">G108+F109</f>
        <v>943500</v>
      </c>
    </row>
    <row r="110" customFormat="false" ht="15" hidden="false" customHeight="true" outlineLevel="0" collapsed="false">
      <c r="A110" s="12" t="n">
        <v>106</v>
      </c>
      <c r="B110" s="13" t="n">
        <v>45834</v>
      </c>
      <c r="C110" s="12" t="s">
        <v>8</v>
      </c>
      <c r="D110" s="15" t="n">
        <v>7763.59</v>
      </c>
      <c r="E110" s="16" t="n">
        <v>1.5007</v>
      </c>
      <c r="F110" s="14" t="n">
        <v>12000</v>
      </c>
      <c r="G110" s="14" t="n">
        <f aca="false">G109+F110</f>
        <v>955500</v>
      </c>
    </row>
    <row r="111" customFormat="false" ht="15" hidden="false" customHeight="true" outlineLevel="0" collapsed="false">
      <c r="A111" s="12" t="n">
        <v>107</v>
      </c>
      <c r="B111" s="13" t="n">
        <v>45835</v>
      </c>
      <c r="C111" s="12" t="s">
        <v>9</v>
      </c>
      <c r="D111" s="15" t="n">
        <v>93.82</v>
      </c>
      <c r="E111" s="16" t="n">
        <v>20.6965</v>
      </c>
      <c r="F111" s="14" t="n">
        <v>2000</v>
      </c>
      <c r="G111" s="14" t="n">
        <f aca="false">G110+F111</f>
        <v>957500</v>
      </c>
    </row>
    <row r="112" customFormat="false" ht="15" hidden="false" customHeight="true" outlineLevel="0" collapsed="false">
      <c r="A112" s="12" t="n">
        <v>108</v>
      </c>
      <c r="B112" s="13" t="n">
        <v>45836</v>
      </c>
      <c r="C112" s="12" t="s">
        <v>8</v>
      </c>
      <c r="D112" s="15" t="n">
        <v>7748.24</v>
      </c>
      <c r="E112" s="16" t="n">
        <v>1.253</v>
      </c>
      <c r="F112" s="14" t="n">
        <v>10000</v>
      </c>
      <c r="G112" s="14" t="n">
        <f aca="false">G111+F112</f>
        <v>967500</v>
      </c>
    </row>
    <row r="113" customFormat="false" ht="15" hidden="false" customHeight="true" outlineLevel="0" collapsed="false">
      <c r="A113" s="12" t="n">
        <v>109</v>
      </c>
      <c r="B113" s="13" t="n">
        <v>45839</v>
      </c>
      <c r="C113" s="12" t="s">
        <v>9</v>
      </c>
      <c r="D113" s="15" t="n">
        <v>94.54</v>
      </c>
      <c r="E113" s="16" t="n">
        <v>154.0418</v>
      </c>
      <c r="F113" s="14" t="n">
        <v>15000</v>
      </c>
      <c r="G113" s="14" t="n">
        <f aca="false">G112+F113</f>
        <v>982500</v>
      </c>
    </row>
    <row r="114" customFormat="false" ht="15" hidden="false" customHeight="true" outlineLevel="0" collapsed="false">
      <c r="A114" s="12" t="n">
        <v>110</v>
      </c>
      <c r="B114" s="13" t="n">
        <v>45839</v>
      </c>
      <c r="C114" s="12" t="s">
        <v>9</v>
      </c>
      <c r="D114" s="15" t="n">
        <v>92.62</v>
      </c>
      <c r="E114" s="16" t="n">
        <v>31.447</v>
      </c>
      <c r="F114" s="14" t="n">
        <v>3000</v>
      </c>
      <c r="G114" s="14" t="n">
        <f aca="false">G113+F114</f>
        <v>985500</v>
      </c>
    </row>
    <row r="115" customFormat="false" ht="15" hidden="false" customHeight="true" outlineLevel="0" collapsed="false">
      <c r="A115" s="12" t="n">
        <v>111</v>
      </c>
      <c r="B115" s="13" t="n">
        <v>45840</v>
      </c>
      <c r="C115" s="12" t="s">
        <v>9</v>
      </c>
      <c r="D115" s="15" t="n">
        <v>90.71</v>
      </c>
      <c r="E115" s="16" t="n">
        <v>80.2728</v>
      </c>
      <c r="F115" s="14" t="n">
        <v>7500</v>
      </c>
      <c r="G115" s="14" t="n">
        <f aca="false">G114+F115</f>
        <v>993000</v>
      </c>
    </row>
    <row r="116" customFormat="false" ht="15" hidden="false" customHeight="true" outlineLevel="0" collapsed="false">
      <c r="A116" s="12" t="n">
        <v>112</v>
      </c>
      <c r="B116" s="13" t="n">
        <v>45844</v>
      </c>
      <c r="C116" s="12" t="s">
        <v>8</v>
      </c>
      <c r="D116" s="15" t="n">
        <v>7530.47</v>
      </c>
      <c r="E116" s="16" t="n">
        <v>1.0314</v>
      </c>
      <c r="F116" s="14" t="n">
        <v>8000</v>
      </c>
      <c r="G116" s="14" t="n">
        <f aca="false">G115+F116</f>
        <v>1001000</v>
      </c>
    </row>
    <row r="117" customFormat="false" ht="15" hidden="false" customHeight="true" outlineLevel="0" collapsed="false">
      <c r="A117" s="12" t="n">
        <v>113</v>
      </c>
      <c r="B117" s="13" t="n">
        <v>45845</v>
      </c>
      <c r="C117" s="12" t="s">
        <v>9</v>
      </c>
      <c r="D117" s="15" t="n">
        <v>89.76</v>
      </c>
      <c r="E117" s="16" t="n">
        <v>86.5306</v>
      </c>
      <c r="F117" s="14" t="n">
        <v>8000</v>
      </c>
      <c r="G117" s="14" t="n">
        <f aca="false">G116+F117</f>
        <v>1009000</v>
      </c>
    </row>
    <row r="118" customFormat="false" ht="15" hidden="false" customHeight="true" outlineLevel="0" collapsed="false">
      <c r="A118" s="12" t="n">
        <v>114</v>
      </c>
      <c r="B118" s="13" t="n">
        <v>45849</v>
      </c>
      <c r="C118" s="12" t="s">
        <v>8</v>
      </c>
      <c r="D118" s="15" t="n">
        <v>7534.2</v>
      </c>
      <c r="E118" s="16" t="n">
        <v>0.5154</v>
      </c>
      <c r="F118" s="14" t="n">
        <v>4000</v>
      </c>
      <c r="G118" s="14" t="n">
        <f aca="false">G117+F118</f>
        <v>1013000</v>
      </c>
    </row>
    <row r="119" customFormat="false" ht="15" hidden="false" customHeight="true" outlineLevel="0" collapsed="false">
      <c r="A119" s="12" t="n">
        <v>115</v>
      </c>
      <c r="B119" s="13" t="n">
        <v>45856</v>
      </c>
      <c r="C119" s="12" t="s">
        <v>8</v>
      </c>
      <c r="D119" s="15" t="n">
        <v>7578.46</v>
      </c>
      <c r="E119" s="16" t="n">
        <v>0.1281</v>
      </c>
      <c r="F119" s="14" t="n">
        <v>1000</v>
      </c>
      <c r="G119" s="14" t="n">
        <f aca="false">G118+F119</f>
        <v>1014000</v>
      </c>
    </row>
    <row r="120" customFormat="false" ht="15" hidden="false" customHeight="true" outlineLevel="0" collapsed="false">
      <c r="A120" s="12" t="n">
        <v>116</v>
      </c>
      <c r="B120" s="13" t="n">
        <v>45856</v>
      </c>
      <c r="C120" s="12" t="s">
        <v>8</v>
      </c>
      <c r="D120" s="15" t="n">
        <v>7734.8</v>
      </c>
      <c r="E120" s="16" t="n">
        <v>0.1883</v>
      </c>
      <c r="F120" s="14" t="n">
        <v>1500</v>
      </c>
      <c r="G120" s="14" t="n">
        <f aca="false">G119+F120</f>
        <v>1015500</v>
      </c>
    </row>
    <row r="121" customFormat="false" ht="15" hidden="false" customHeight="true" outlineLevel="0" collapsed="false">
      <c r="A121" s="12" t="n">
        <v>117</v>
      </c>
      <c r="B121" s="13" t="n">
        <v>45857</v>
      </c>
      <c r="C121" s="12" t="s">
        <v>8</v>
      </c>
      <c r="D121" s="15" t="n">
        <v>7782.17</v>
      </c>
      <c r="E121" s="16" t="n">
        <v>0.1248</v>
      </c>
      <c r="F121" s="14" t="n">
        <v>1000</v>
      </c>
      <c r="G121" s="14" t="n">
        <f aca="false">G120+F121</f>
        <v>1016500</v>
      </c>
    </row>
    <row r="122" customFormat="false" ht="15" hidden="false" customHeight="true" outlineLevel="0" collapsed="false">
      <c r="A122" s="12" t="n">
        <v>118</v>
      </c>
      <c r="B122" s="13" t="n">
        <v>45859</v>
      </c>
      <c r="C122" s="12" t="s">
        <v>8</v>
      </c>
      <c r="D122" s="15" t="n">
        <v>7619.68</v>
      </c>
      <c r="E122" s="16" t="n">
        <v>0.7645</v>
      </c>
      <c r="F122" s="14" t="n">
        <v>6000</v>
      </c>
      <c r="G122" s="14" t="n">
        <f aca="false">G121+F122</f>
        <v>1022500</v>
      </c>
    </row>
    <row r="123" customFormat="false" ht="15" hidden="false" customHeight="true" outlineLevel="0" collapsed="false">
      <c r="A123" s="12" t="n">
        <v>119</v>
      </c>
      <c r="B123" s="13" t="n">
        <v>45871</v>
      </c>
      <c r="C123" s="12" t="s">
        <v>8</v>
      </c>
      <c r="D123" s="15" t="n">
        <v>7741.67</v>
      </c>
      <c r="E123" s="16" t="n">
        <v>2.5082</v>
      </c>
      <c r="F123" s="14" t="n">
        <v>20000</v>
      </c>
      <c r="G123" s="14" t="n">
        <f aca="false">G122+F123</f>
        <v>1042500</v>
      </c>
    </row>
    <row r="124" customFormat="false" ht="15" hidden="false" customHeight="true" outlineLevel="0" collapsed="false">
      <c r="A124" s="12" t="n">
        <v>120</v>
      </c>
      <c r="B124" s="13" t="n">
        <v>45884</v>
      </c>
      <c r="C124" s="12" t="s">
        <v>9</v>
      </c>
      <c r="D124" s="15" t="n">
        <v>93.48</v>
      </c>
      <c r="E124" s="16" t="n">
        <v>20.7718</v>
      </c>
      <c r="F124" s="14" t="n">
        <v>2000</v>
      </c>
      <c r="G124" s="14" t="n">
        <f aca="false">G123+F124</f>
        <v>1044500</v>
      </c>
    </row>
    <row r="125" customFormat="false" ht="15" hidden="false" customHeight="true" outlineLevel="0" collapsed="false">
      <c r="A125" s="12" t="n">
        <v>121</v>
      </c>
      <c r="B125" s="13" t="n">
        <v>45891</v>
      </c>
      <c r="C125" s="12" t="s">
        <v>9</v>
      </c>
      <c r="D125" s="15" t="n">
        <v>93.99</v>
      </c>
      <c r="E125" s="16" t="n">
        <v>25.8238</v>
      </c>
      <c r="F125" s="14" t="n">
        <v>2500</v>
      </c>
      <c r="G125" s="14" t="n">
        <f aca="false">G124+F125</f>
        <v>1047000</v>
      </c>
    </row>
    <row r="126" customFormat="false" ht="15" hidden="false" customHeight="true" outlineLevel="0" collapsed="false">
      <c r="A126" s="12" t="n">
        <v>122</v>
      </c>
      <c r="B126" s="13" t="n">
        <v>45892</v>
      </c>
      <c r="C126" s="12" t="s">
        <v>9</v>
      </c>
      <c r="D126" s="15" t="n">
        <v>89.38</v>
      </c>
      <c r="E126" s="16" t="n">
        <v>86.8985</v>
      </c>
      <c r="F126" s="14" t="n">
        <v>8000</v>
      </c>
      <c r="G126" s="14" t="n">
        <f aca="false">G125+F126</f>
        <v>1055000</v>
      </c>
    </row>
    <row r="127" customFormat="false" ht="15" hidden="false" customHeight="true" outlineLevel="0" collapsed="false">
      <c r="A127" s="12" t="n">
        <v>123</v>
      </c>
      <c r="B127" s="13" t="n">
        <v>45894</v>
      </c>
      <c r="C127" s="12" t="s">
        <v>9</v>
      </c>
      <c r="D127" s="15" t="n">
        <v>95.03</v>
      </c>
      <c r="E127" s="16" t="n">
        <v>122.598</v>
      </c>
      <c r="F127" s="14" t="n">
        <v>12000</v>
      </c>
      <c r="G127" s="14" t="n">
        <f aca="false">G126+F127</f>
        <v>1067000</v>
      </c>
    </row>
    <row r="128" customFormat="false" ht="15" hidden="false" customHeight="true" outlineLevel="0" collapsed="false">
      <c r="A128" s="12" t="n">
        <v>124</v>
      </c>
      <c r="B128" s="13" t="n">
        <v>45896</v>
      </c>
      <c r="C128" s="12" t="s">
        <v>8</v>
      </c>
      <c r="D128" s="15" t="n">
        <v>7659.48</v>
      </c>
      <c r="E128" s="16" t="n">
        <v>0.9507</v>
      </c>
      <c r="F128" s="14" t="n">
        <v>7500</v>
      </c>
      <c r="G128" s="14" t="n">
        <f aca="false">G127+F128</f>
        <v>1074500</v>
      </c>
    </row>
    <row r="129" customFormat="false" ht="15" hidden="false" customHeight="true" outlineLevel="0" collapsed="false">
      <c r="A129" s="12" t="n">
        <v>125</v>
      </c>
      <c r="B129" s="13" t="n">
        <v>45900</v>
      </c>
      <c r="C129" s="12" t="s">
        <v>9</v>
      </c>
      <c r="D129" s="15" t="n">
        <v>95.03</v>
      </c>
      <c r="E129" s="16" t="n">
        <v>153.2475</v>
      </c>
      <c r="F129" s="14" t="n">
        <v>15000</v>
      </c>
      <c r="G129" s="14" t="n">
        <f aca="false">G128+F129</f>
        <v>1089500</v>
      </c>
    </row>
    <row r="130" customFormat="false" ht="15" hidden="false" customHeight="true" outlineLevel="0" collapsed="false">
      <c r="A130" s="12" t="n">
        <v>126</v>
      </c>
      <c r="B130" s="13" t="n">
        <v>45906</v>
      </c>
      <c r="C130" s="12" t="s">
        <v>9</v>
      </c>
      <c r="D130" s="15" t="n">
        <v>91.02</v>
      </c>
      <c r="E130" s="16" t="n">
        <v>106.666</v>
      </c>
      <c r="F130" s="14" t="n">
        <v>10000</v>
      </c>
      <c r="G130" s="14" t="n">
        <f aca="false">G129+F130</f>
        <v>1099500</v>
      </c>
    </row>
    <row r="131" customFormat="false" ht="15" hidden="false" customHeight="true" outlineLevel="0" collapsed="false">
      <c r="A131" s="12" t="n">
        <v>127</v>
      </c>
      <c r="B131" s="13" t="n">
        <v>45906</v>
      </c>
      <c r="C131" s="12" t="s">
        <v>8</v>
      </c>
      <c r="D131" s="15" t="n">
        <v>7739.9</v>
      </c>
      <c r="E131" s="16" t="n">
        <v>0.5018</v>
      </c>
      <c r="F131" s="14" t="n">
        <v>4000</v>
      </c>
      <c r="G131" s="14" t="n">
        <f aca="false">G130+F131</f>
        <v>1103500</v>
      </c>
    </row>
    <row r="132" customFormat="false" ht="15" hidden="false" customHeight="true" outlineLevel="0" collapsed="false">
      <c r="A132" s="12" t="n">
        <v>128</v>
      </c>
      <c r="B132" s="13" t="n">
        <v>45919</v>
      </c>
      <c r="C132" s="12" t="s">
        <v>9</v>
      </c>
      <c r="D132" s="15" t="n">
        <v>91.71</v>
      </c>
      <c r="E132" s="16" t="n">
        <v>21.1727</v>
      </c>
      <c r="F132" s="14" t="n">
        <v>2000</v>
      </c>
      <c r="G132" s="14" t="n">
        <f aca="false">G131+F132</f>
        <v>1105500</v>
      </c>
    </row>
    <row r="133" customFormat="false" ht="15" hidden="false" customHeight="true" outlineLevel="0" collapsed="false">
      <c r="A133" s="12" t="n">
        <v>129</v>
      </c>
      <c r="B133" s="13" t="n">
        <v>45919</v>
      </c>
      <c r="C133" s="12" t="s">
        <v>8</v>
      </c>
      <c r="D133" s="15" t="n">
        <v>7786.33</v>
      </c>
      <c r="E133" s="16" t="n">
        <v>1.8703</v>
      </c>
      <c r="F133" s="14" t="n">
        <v>15000</v>
      </c>
      <c r="G133" s="14" t="n">
        <f aca="false">G132+F133</f>
        <v>1120500</v>
      </c>
    </row>
    <row r="134" customFormat="false" ht="15" hidden="false" customHeight="true" outlineLevel="0" collapsed="false">
      <c r="A134" s="12" t="n">
        <v>130</v>
      </c>
      <c r="B134" s="13" t="n">
        <v>45923</v>
      </c>
      <c r="C134" s="12" t="s">
        <v>9</v>
      </c>
      <c r="D134" s="15" t="n">
        <v>96.91</v>
      </c>
      <c r="E134" s="16" t="n">
        <v>80.1464</v>
      </c>
      <c r="F134" s="14" t="n">
        <v>8000</v>
      </c>
      <c r="G134" s="14" t="n">
        <f aca="false">G133+F134</f>
        <v>1128500</v>
      </c>
    </row>
    <row r="135" customFormat="false" ht="15" hidden="false" customHeight="true" outlineLevel="0" collapsed="false">
      <c r="A135" s="12" t="n">
        <v>131</v>
      </c>
      <c r="B135" s="13" t="n">
        <v>45924</v>
      </c>
      <c r="C135" s="12" t="s">
        <v>8</v>
      </c>
      <c r="D135" s="15" t="n">
        <v>8026.14</v>
      </c>
      <c r="E135" s="16" t="n">
        <v>1.2096</v>
      </c>
      <c r="F135" s="14" t="n">
        <v>10000</v>
      </c>
      <c r="G135" s="14" t="n">
        <f aca="false">G134+F135</f>
        <v>1138500</v>
      </c>
    </row>
    <row r="136" customFormat="false" ht="15" hidden="false" customHeight="true" outlineLevel="0" collapsed="false">
      <c r="A136" s="12" t="n">
        <v>132</v>
      </c>
      <c r="B136" s="13" t="n">
        <v>45929</v>
      </c>
      <c r="C136" s="12" t="s">
        <v>9</v>
      </c>
      <c r="D136" s="15" t="n">
        <v>97.11</v>
      </c>
      <c r="E136" s="16" t="n">
        <v>79.9814</v>
      </c>
      <c r="F136" s="14" t="n">
        <v>8000</v>
      </c>
      <c r="G136" s="14" t="n">
        <f aca="false">G135+F136</f>
        <v>1146500</v>
      </c>
    </row>
    <row r="137" customFormat="false" ht="15" hidden="false" customHeight="true" outlineLevel="0" collapsed="false">
      <c r="A137" s="12" t="n">
        <v>133</v>
      </c>
      <c r="B137" s="13" t="n">
        <v>45938</v>
      </c>
      <c r="C137" s="12" t="s">
        <v>8</v>
      </c>
      <c r="D137" s="15" t="n">
        <v>7858.58</v>
      </c>
      <c r="E137" s="16" t="n">
        <v>1.4825</v>
      </c>
      <c r="F137" s="14" t="n">
        <v>12000</v>
      </c>
      <c r="G137" s="14" t="n">
        <f aca="false">G136+F137</f>
        <v>1158500</v>
      </c>
    </row>
    <row r="138" customFormat="false" ht="15" hidden="false" customHeight="true" outlineLevel="0" collapsed="false">
      <c r="A138" s="12" t="n">
        <v>134</v>
      </c>
      <c r="B138" s="13" t="n">
        <v>45942</v>
      </c>
      <c r="C138" s="12" t="s">
        <v>9</v>
      </c>
      <c r="D138" s="15" t="n">
        <v>94.7</v>
      </c>
      <c r="E138" s="16" t="n">
        <v>205.042</v>
      </c>
      <c r="F138" s="14" t="n">
        <v>20000</v>
      </c>
      <c r="G138" s="14" t="n">
        <f aca="false">G137+F138</f>
        <v>1178500</v>
      </c>
    </row>
    <row r="139" customFormat="false" ht="15" hidden="false" customHeight="true" outlineLevel="0" collapsed="false">
      <c r="A139" s="12" t="n">
        <v>135</v>
      </c>
      <c r="B139" s="13" t="n">
        <v>45942</v>
      </c>
      <c r="C139" s="12" t="s">
        <v>8</v>
      </c>
      <c r="D139" s="15" t="n">
        <v>8071.96</v>
      </c>
      <c r="E139" s="16" t="n">
        <v>2.4055</v>
      </c>
      <c r="F139" s="14" t="n">
        <v>20000</v>
      </c>
      <c r="G139" s="14" t="n">
        <f aca="false">G138+F139</f>
        <v>1198500</v>
      </c>
    </row>
    <row r="140" customFormat="false" ht="15" hidden="false" customHeight="true" outlineLevel="0" collapsed="false">
      <c r="A140" s="12" t="n">
        <v>136</v>
      </c>
      <c r="B140" s="13" t="n">
        <v>45954</v>
      </c>
      <c r="C140" s="12" t="s">
        <v>9</v>
      </c>
      <c r="D140" s="15" t="n">
        <v>101.08</v>
      </c>
      <c r="E140" s="16" t="n">
        <v>19.21</v>
      </c>
      <c r="F140" s="14" t="n">
        <v>2000</v>
      </c>
      <c r="G140" s="14" t="n">
        <f aca="false">G139+F140</f>
        <v>1200500</v>
      </c>
    </row>
    <row r="141" customFormat="false" ht="15" hidden="false" customHeight="true" outlineLevel="0" collapsed="false">
      <c r="A141" s="12" t="n">
        <v>137</v>
      </c>
      <c r="B141" s="13" t="n">
        <v>45954</v>
      </c>
      <c r="C141" s="12" t="s">
        <v>8</v>
      </c>
      <c r="D141" s="15" t="n">
        <v>8120</v>
      </c>
      <c r="E141" s="16" t="n">
        <v>0.2989</v>
      </c>
      <c r="F141" s="14" t="n">
        <v>2500</v>
      </c>
      <c r="G141" s="14" t="n">
        <f aca="false">G140+F141</f>
        <v>1203000</v>
      </c>
    </row>
    <row r="142" customFormat="false" ht="15" hidden="false" customHeight="true" outlineLevel="0" collapsed="false">
      <c r="A142" s="12" t="n">
        <v>138</v>
      </c>
      <c r="B142" s="13" t="n">
        <v>45961</v>
      </c>
      <c r="C142" s="12" t="s">
        <v>9</v>
      </c>
      <c r="D142" s="15" t="n">
        <v>92.8</v>
      </c>
      <c r="E142" s="16" t="n">
        <v>78.465</v>
      </c>
      <c r="F142" s="14" t="n">
        <v>7500</v>
      </c>
      <c r="G142" s="14" t="n">
        <f aca="false">G141+F142</f>
        <v>1210500</v>
      </c>
    </row>
    <row r="143" customFormat="false" ht="15" hidden="false" customHeight="true" outlineLevel="0" collapsed="false">
      <c r="A143" s="12" t="n">
        <v>139</v>
      </c>
      <c r="B143" s="13" t="n">
        <v>45967</v>
      </c>
      <c r="C143" s="12" t="s">
        <v>8</v>
      </c>
      <c r="D143" s="15" t="n">
        <v>7946.81</v>
      </c>
      <c r="E143" s="16" t="n">
        <v>0.9163</v>
      </c>
      <c r="F143" s="14" t="n">
        <v>7500</v>
      </c>
      <c r="G143" s="14" t="n">
        <f aca="false">G142+F143</f>
        <v>1218000</v>
      </c>
    </row>
    <row r="144" customFormat="false" ht="15" hidden="false" customHeight="true" outlineLevel="0" collapsed="false">
      <c r="A144" s="12" t="n">
        <v>140</v>
      </c>
      <c r="B144" s="13" t="n">
        <v>45972</v>
      </c>
      <c r="C144" s="12" t="s">
        <v>8</v>
      </c>
      <c r="D144" s="15" t="n">
        <v>8289.09</v>
      </c>
      <c r="E144" s="16" t="n">
        <v>0.5856</v>
      </c>
      <c r="F144" s="14" t="n">
        <v>5000</v>
      </c>
      <c r="G144" s="14" t="n">
        <f aca="false">G143+F144</f>
        <v>1223000</v>
      </c>
    </row>
    <row r="145" customFormat="false" ht="15" hidden="false" customHeight="true" outlineLevel="0" collapsed="false">
      <c r="A145" s="12" t="n">
        <v>141</v>
      </c>
      <c r="B145" s="13" t="n">
        <v>45977</v>
      </c>
      <c r="C145" s="12" t="s">
        <v>8</v>
      </c>
      <c r="D145" s="15" t="n">
        <v>7967.36</v>
      </c>
      <c r="E145" s="16" t="n">
        <v>0.9749</v>
      </c>
      <c r="F145" s="14" t="n">
        <v>8000</v>
      </c>
      <c r="G145" s="14" t="n">
        <f aca="false">G144+F145</f>
        <v>1231000</v>
      </c>
    </row>
    <row r="146" customFormat="false" ht="15" hidden="false" customHeight="true" outlineLevel="0" collapsed="false">
      <c r="A146" s="12" t="n">
        <v>142</v>
      </c>
      <c r="B146" s="13" t="n">
        <v>45979</v>
      </c>
      <c r="C146" s="12" t="s">
        <v>9</v>
      </c>
      <c r="D146" s="15" t="n">
        <v>102.6</v>
      </c>
      <c r="E146" s="16" t="n">
        <v>18.9254</v>
      </c>
      <c r="F146" s="14" t="n">
        <v>2000</v>
      </c>
      <c r="G146" s="14" t="n">
        <f aca="false">G145+F146</f>
        <v>1233000</v>
      </c>
    </row>
    <row r="147" customFormat="false" ht="15" hidden="false" customHeight="true" outlineLevel="0" collapsed="false">
      <c r="A147" s="12" t="n">
        <v>143</v>
      </c>
      <c r="B147" s="13" t="n">
        <v>45994</v>
      </c>
      <c r="C147" s="12" t="s">
        <v>8</v>
      </c>
      <c r="D147" s="15" t="n">
        <v>8326.27</v>
      </c>
      <c r="E147" s="16" t="n">
        <v>2.0989</v>
      </c>
      <c r="F147" s="14" t="n">
        <v>18000</v>
      </c>
      <c r="G147" s="14" t="n">
        <f aca="false">G146+F147</f>
        <v>1251000</v>
      </c>
    </row>
    <row r="148" customFormat="false" ht="15" hidden="false" customHeight="true" outlineLevel="0" collapsed="false">
      <c r="A148" s="12" t="n">
        <v>144</v>
      </c>
      <c r="B148" s="13" t="n">
        <v>46003</v>
      </c>
      <c r="C148" s="12" t="s">
        <v>9</v>
      </c>
      <c r="D148" s="15" t="n">
        <v>100.66</v>
      </c>
      <c r="E148" s="16" t="n">
        <v>289.3524</v>
      </c>
      <c r="F148" s="14" t="n">
        <v>30000</v>
      </c>
      <c r="G148" s="14" t="n">
        <f aca="false">G147+F148</f>
        <v>1281000</v>
      </c>
    </row>
    <row r="149" customFormat="false" ht="15" hidden="false" customHeight="true" outlineLevel="0" collapsed="false">
      <c r="A149" s="12" t="n">
        <v>145</v>
      </c>
      <c r="B149" s="13" t="n">
        <v>46005</v>
      </c>
      <c r="C149" s="12" t="s">
        <v>8</v>
      </c>
      <c r="D149" s="15" t="n">
        <v>8287.94</v>
      </c>
      <c r="E149" s="16" t="n">
        <v>0.9371</v>
      </c>
      <c r="F149" s="14" t="n">
        <v>8000</v>
      </c>
      <c r="G149" s="14" t="n">
        <f aca="false">G148+F149</f>
        <v>1289000</v>
      </c>
    </row>
    <row r="150" customFormat="false" ht="15" hidden="false" customHeight="true" outlineLevel="0" collapsed="false">
      <c r="A150" s="12" t="n">
        <v>146</v>
      </c>
      <c r="B150" s="13" t="n">
        <v>46011</v>
      </c>
      <c r="C150" s="12" t="s">
        <v>9</v>
      </c>
      <c r="D150" s="15" t="n">
        <v>103.5</v>
      </c>
      <c r="E150" s="16" t="n">
        <v>187.6085</v>
      </c>
      <c r="F150" s="14" t="n">
        <v>20000</v>
      </c>
      <c r="G150" s="14" t="n">
        <f aca="false">G149+F150</f>
        <v>1309000</v>
      </c>
    </row>
    <row r="151" customFormat="false" ht="15" hidden="false" customHeight="true" outlineLevel="0" collapsed="false">
      <c r="A151" s="12" t="n">
        <v>147</v>
      </c>
      <c r="B151" s="13" t="n">
        <v>46032</v>
      </c>
      <c r="C151" s="12" t="s">
        <v>8</v>
      </c>
      <c r="D151" s="15" t="n">
        <v>8378.42</v>
      </c>
      <c r="E151" s="16" t="n">
        <v>2.8969</v>
      </c>
      <c r="F151" s="14" t="n">
        <v>25000</v>
      </c>
      <c r="G151" s="14" t="n">
        <f aca="false">G150+F151</f>
        <v>1334000</v>
      </c>
    </row>
    <row r="152" customFormat="false" ht="15" hidden="false" customHeight="true" outlineLevel="0" collapsed="false">
      <c r="A152" s="12" t="n">
        <v>148</v>
      </c>
      <c r="B152" s="13" t="n">
        <v>46037</v>
      </c>
      <c r="C152" s="12" t="s">
        <v>9</v>
      </c>
      <c r="D152" s="15" t="n">
        <v>104.49</v>
      </c>
      <c r="E152" s="16" t="n">
        <v>18.5831</v>
      </c>
      <c r="F152" s="14" t="n">
        <v>2000</v>
      </c>
      <c r="G152" s="14" t="n">
        <f aca="false">G151+F152</f>
        <v>1336000</v>
      </c>
    </row>
    <row r="153" customFormat="false" ht="15" hidden="false" customHeight="true" outlineLevel="0" collapsed="false">
      <c r="A153" s="12" t="n">
        <v>149</v>
      </c>
      <c r="B153" s="13" t="n">
        <v>46044</v>
      </c>
      <c r="C153" s="12" t="s">
        <v>9</v>
      </c>
      <c r="D153" s="15" t="n">
        <v>104.13</v>
      </c>
      <c r="E153" s="16" t="n">
        <v>93.2367</v>
      </c>
      <c r="F153" s="14" t="n">
        <v>10000</v>
      </c>
      <c r="G153" s="14" t="n">
        <f aca="false">G152+F153</f>
        <v>1346000</v>
      </c>
    </row>
    <row r="154" customFormat="false" ht="15" hidden="false" customHeight="true" outlineLevel="0" collapsed="false">
      <c r="A154" s="12" t="n">
        <v>150</v>
      </c>
      <c r="B154" s="13" t="n">
        <v>46053</v>
      </c>
      <c r="C154" s="12" t="s">
        <v>8</v>
      </c>
      <c r="D154" s="15" t="n">
        <v>8646.44</v>
      </c>
      <c r="E154" s="16" t="n">
        <v>0.6737</v>
      </c>
      <c r="F154" s="14" t="n">
        <v>6000</v>
      </c>
      <c r="G154" s="14" t="n">
        <f aca="false">G153+F154</f>
        <v>1352000</v>
      </c>
    </row>
    <row r="155" customFormat="false" ht="15" hidden="false" customHeight="true" outlineLevel="0" collapsed="false">
      <c r="A155" s="12" t="n">
        <v>151</v>
      </c>
      <c r="B155" s="13" t="n">
        <v>46061</v>
      </c>
      <c r="C155" s="12" t="s">
        <v>9</v>
      </c>
      <c r="D155" s="15" t="n">
        <v>102.75</v>
      </c>
      <c r="E155" s="16" t="n">
        <v>283.4668</v>
      </c>
      <c r="F155" s="14" t="n">
        <v>30000</v>
      </c>
      <c r="G155" s="14" t="n">
        <f aca="false">G154+F155</f>
        <v>1382000</v>
      </c>
    </row>
    <row r="156" customFormat="false" ht="15" hidden="false" customHeight="true" outlineLevel="0" collapsed="false">
      <c r="A156" s="12" t="n">
        <v>152</v>
      </c>
      <c r="B156" s="13" t="n">
        <v>46064</v>
      </c>
      <c r="C156" s="12" t="s">
        <v>8</v>
      </c>
      <c r="D156" s="15" t="n">
        <v>8638.44</v>
      </c>
      <c r="E156" s="16" t="n">
        <v>0.5619</v>
      </c>
      <c r="F156" s="14" t="n">
        <v>5000</v>
      </c>
      <c r="G156" s="14" t="n">
        <f aca="false">G155+F156</f>
        <v>1387000</v>
      </c>
    </row>
    <row r="157" customFormat="false" ht="15" hidden="false" customHeight="true" outlineLevel="0" collapsed="false">
      <c r="A157" s="12" t="n">
        <v>153</v>
      </c>
      <c r="B157" s="13" t="n">
        <v>46066</v>
      </c>
      <c r="C157" s="12" t="s">
        <v>8</v>
      </c>
      <c r="D157" s="15" t="n">
        <v>8306.28</v>
      </c>
      <c r="E157" s="16" t="n">
        <v>2.3377</v>
      </c>
      <c r="F157" s="14" t="n">
        <v>20000</v>
      </c>
      <c r="G157" s="14" t="n">
        <f aca="false">G156+F157</f>
        <v>1407000</v>
      </c>
    </row>
    <row r="158" customFormat="false" ht="15" hidden="false" customHeight="true" outlineLevel="0" collapsed="false">
      <c r="A158" s="12" t="n">
        <v>154</v>
      </c>
      <c r="B158" s="13" t="n">
        <v>46072</v>
      </c>
      <c r="C158" s="12" t="s">
        <v>9</v>
      </c>
      <c r="D158" s="15" t="n">
        <v>104.68</v>
      </c>
      <c r="E158" s="16" t="n">
        <v>139.1203</v>
      </c>
      <c r="F158" s="14" t="n">
        <v>15000</v>
      </c>
      <c r="G158" s="14" t="n">
        <f aca="false">G157+F158</f>
        <v>1422000</v>
      </c>
    </row>
    <row r="159" customFormat="false" ht="15" hidden="false" customHeight="true" outlineLevel="0" collapsed="false">
      <c r="A159" s="12" t="n">
        <v>155</v>
      </c>
      <c r="B159" s="13" t="n">
        <v>46079</v>
      </c>
      <c r="C159" s="12" t="s">
        <v>9</v>
      </c>
      <c r="D159" s="15" t="n">
        <v>97.45</v>
      </c>
      <c r="E159" s="16" t="n">
        <v>14.9442</v>
      </c>
      <c r="F159" s="14" t="n">
        <v>1500</v>
      </c>
      <c r="G159" s="14" t="n">
        <f aca="false">G158+F159</f>
        <v>1423500</v>
      </c>
    </row>
    <row r="160" customFormat="false" ht="15" hidden="false" customHeight="true" outlineLevel="0" collapsed="false">
      <c r="A160" s="12" t="n">
        <v>156</v>
      </c>
      <c r="B160" s="13" t="n">
        <v>46081</v>
      </c>
      <c r="C160" s="12" t="s">
        <v>8</v>
      </c>
      <c r="D160" s="15" t="n">
        <v>8499.35</v>
      </c>
      <c r="E160" s="16" t="n">
        <v>2.2846</v>
      </c>
      <c r="F160" s="14" t="n">
        <v>20000</v>
      </c>
      <c r="G160" s="14" t="n">
        <f aca="false">G159+F160</f>
        <v>1443500</v>
      </c>
    </row>
    <row r="161" customFormat="false" ht="15" hidden="false" customHeight="true" outlineLevel="0" collapsed="false">
      <c r="A161" s="12" t="n">
        <v>157</v>
      </c>
      <c r="B161" s="13" t="n">
        <v>46082</v>
      </c>
      <c r="C161" s="12" t="s">
        <v>8</v>
      </c>
      <c r="D161" s="15" t="n">
        <v>8544.15</v>
      </c>
      <c r="E161" s="16" t="n">
        <v>1.3636</v>
      </c>
      <c r="F161" s="14" t="n">
        <v>12000</v>
      </c>
      <c r="G161" s="14" t="n">
        <f aca="false">G160+F161</f>
        <v>1455500</v>
      </c>
    </row>
    <row r="162" customFormat="false" ht="15" hidden="false" customHeight="true" outlineLevel="0" collapsed="false">
      <c r="A162" s="12" t="n">
        <v>158</v>
      </c>
      <c r="B162" s="13" t="n">
        <v>46087</v>
      </c>
      <c r="C162" s="12" t="s">
        <v>8</v>
      </c>
      <c r="D162" s="15" t="n">
        <v>8781.5</v>
      </c>
      <c r="E162" s="16" t="n">
        <v>3.3168</v>
      </c>
      <c r="F162" s="14" t="n">
        <v>30000</v>
      </c>
      <c r="G162" s="14" t="n">
        <f aca="false">G161+F162</f>
        <v>1485500</v>
      </c>
    </row>
    <row r="163" customFormat="false" ht="15" hidden="false" customHeight="true" outlineLevel="0" collapsed="false">
      <c r="A163" s="12" t="n">
        <v>159</v>
      </c>
      <c r="B163" s="13" t="n">
        <v>46093</v>
      </c>
      <c r="C163" s="12" t="s">
        <v>9</v>
      </c>
      <c r="D163" s="15" t="n">
        <v>106.45</v>
      </c>
      <c r="E163" s="16" t="n">
        <v>91.2047</v>
      </c>
      <c r="F163" s="14" t="n">
        <v>10000</v>
      </c>
      <c r="G163" s="14" t="n">
        <f aca="false">G162+F163</f>
        <v>1495500</v>
      </c>
    </row>
    <row r="164" customFormat="false" ht="15" hidden="false" customHeight="true" outlineLevel="0" collapsed="false">
      <c r="A164" s="12" t="n">
        <v>160</v>
      </c>
      <c r="B164" s="13" t="n">
        <v>46105</v>
      </c>
      <c r="C164" s="12" t="s">
        <v>9</v>
      </c>
      <c r="D164" s="15" t="n">
        <v>107.93</v>
      </c>
      <c r="E164" s="16" t="n">
        <v>22.4885</v>
      </c>
      <c r="F164" s="14" t="n">
        <v>2500</v>
      </c>
      <c r="G164" s="14" t="n">
        <f aca="false">G163+F164</f>
        <v>1498000</v>
      </c>
    </row>
    <row r="165" customFormat="false" ht="15" hidden="false" customHeight="true" outlineLevel="0" collapsed="false">
      <c r="A165" s="12" t="n">
        <v>161</v>
      </c>
      <c r="B165" s="13" t="n">
        <v>46116</v>
      </c>
      <c r="C165" s="12" t="s">
        <v>9</v>
      </c>
      <c r="D165" s="15" t="n">
        <v>103.31</v>
      </c>
      <c r="E165" s="16" t="n">
        <v>112.7721</v>
      </c>
      <c r="F165" s="14" t="n">
        <v>12000</v>
      </c>
      <c r="G165" s="14" t="n">
        <f aca="false">G164+F165</f>
        <v>1510000</v>
      </c>
    </row>
    <row r="166" customFormat="false" ht="15" hidden="false" customHeight="true" outlineLevel="0" collapsed="false">
      <c r="A166" s="12" t="n">
        <v>162</v>
      </c>
      <c r="B166" s="13" t="n">
        <v>46132</v>
      </c>
      <c r="C166" s="12" t="s">
        <v>8</v>
      </c>
      <c r="D166" s="15" t="n">
        <v>8741.69</v>
      </c>
      <c r="E166" s="16" t="n">
        <v>0.5553</v>
      </c>
      <c r="F166" s="14" t="n">
        <v>5000</v>
      </c>
      <c r="G166" s="14" t="n">
        <f aca="false">G165+F166</f>
        <v>1515000</v>
      </c>
    </row>
    <row r="167" customFormat="false" ht="15" hidden="false" customHeight="true" outlineLevel="0" collapsed="false">
      <c r="A167" s="12" t="n">
        <v>163</v>
      </c>
      <c r="B167" s="13" t="n">
        <v>46135</v>
      </c>
      <c r="C167" s="12" t="s">
        <v>8</v>
      </c>
      <c r="D167" s="15" t="n">
        <v>8759.78</v>
      </c>
      <c r="E167" s="16" t="n">
        <v>2.7708</v>
      </c>
      <c r="F167" s="14" t="n">
        <v>25000</v>
      </c>
      <c r="G167" s="14" t="n">
        <f aca="false">G166+F167</f>
        <v>1540000</v>
      </c>
    </row>
    <row r="168" customFormat="false" ht="15" hidden="false" customHeight="true" outlineLevel="0" collapsed="false">
      <c r="A168" s="12" t="n">
        <v>164</v>
      </c>
      <c r="B168" s="13" t="n">
        <v>46162</v>
      </c>
      <c r="C168" s="12" t="s">
        <v>8</v>
      </c>
      <c r="D168" s="15" t="n">
        <v>8771.95</v>
      </c>
      <c r="E168" s="16" t="n">
        <v>1.3282</v>
      </c>
      <c r="F168" s="14" t="n">
        <v>12000</v>
      </c>
      <c r="G168" s="14" t="n">
        <f aca="false">G167+F168</f>
        <v>1552000</v>
      </c>
    </row>
    <row r="169" customFormat="false" ht="15" hidden="false" customHeight="true" outlineLevel="0" collapsed="false">
      <c r="A169" s="12" t="n">
        <v>165</v>
      </c>
      <c r="B169" s="13" t="n">
        <v>46169</v>
      </c>
      <c r="C169" s="12" t="s">
        <v>9</v>
      </c>
      <c r="D169" s="15" t="n">
        <v>109.92</v>
      </c>
      <c r="E169" s="16" t="n">
        <v>88.3255</v>
      </c>
      <c r="F169" s="14" t="n">
        <v>10000</v>
      </c>
      <c r="G169" s="14" t="n">
        <f aca="false">G168+F169</f>
        <v>1562000</v>
      </c>
    </row>
    <row r="170" customFormat="false" ht="15" hidden="false" customHeight="true" outlineLevel="0" collapsed="false">
      <c r="A170" s="12" t="n">
        <v>166</v>
      </c>
      <c r="B170" s="13" t="n">
        <v>46170</v>
      </c>
      <c r="C170" s="12" t="s">
        <v>8</v>
      </c>
      <c r="D170" s="15" t="n">
        <v>8832.46</v>
      </c>
      <c r="E170" s="16" t="n">
        <v>0.1649</v>
      </c>
      <c r="F170" s="14" t="n">
        <v>1500</v>
      </c>
      <c r="G170" s="14" t="n">
        <f aca="false">G169+F170</f>
        <v>1563500</v>
      </c>
    </row>
    <row r="171" customFormat="false" ht="15" hidden="false" customHeight="true" outlineLevel="0" collapsed="false">
      <c r="A171" s="12" t="n">
        <v>167</v>
      </c>
      <c r="B171" s="13" t="n">
        <v>46172</v>
      </c>
      <c r="C171" s="12" t="s">
        <v>8</v>
      </c>
      <c r="D171" s="15" t="n">
        <v>8930.6</v>
      </c>
      <c r="E171" s="16" t="n">
        <v>0.3261</v>
      </c>
      <c r="F171" s="14" t="n">
        <v>3000</v>
      </c>
      <c r="G171" s="14" t="n">
        <f aca="false">G170+F171</f>
        <v>1566500</v>
      </c>
    </row>
    <row r="172" customFormat="false" ht="15" hidden="false" customHeight="true" outlineLevel="0" collapsed="false">
      <c r="A172" s="12" t="n">
        <v>168</v>
      </c>
      <c r="B172" s="13" t="n">
        <v>46186</v>
      </c>
      <c r="C172" s="12" t="s">
        <v>9</v>
      </c>
      <c r="D172" s="15" t="n">
        <v>110.45</v>
      </c>
      <c r="E172" s="16" t="n">
        <v>43.9508</v>
      </c>
      <c r="F172" s="14" t="n">
        <v>5000</v>
      </c>
      <c r="G172" s="14" t="n">
        <f aca="false">G171+F172</f>
        <v>1571500</v>
      </c>
    </row>
    <row r="173" customFormat="false" ht="15" hidden="false" customHeight="true" outlineLevel="0" collapsed="false">
      <c r="A173" s="12" t="n">
        <v>169</v>
      </c>
      <c r="B173" s="13" t="n">
        <v>46188</v>
      </c>
      <c r="C173" s="12" t="s">
        <v>9</v>
      </c>
      <c r="D173" s="15" t="n">
        <v>108.33</v>
      </c>
      <c r="E173" s="16" t="n">
        <v>17.9244</v>
      </c>
      <c r="F173" s="14" t="n">
        <v>2000</v>
      </c>
      <c r="G173" s="14" t="n">
        <f aca="false">G172+F173</f>
        <v>1573500</v>
      </c>
    </row>
    <row r="174" customFormat="false" ht="15" hidden="false" customHeight="true" outlineLevel="0" collapsed="false">
      <c r="A174" s="12" t="n">
        <v>170</v>
      </c>
      <c r="B174" s="13" t="n">
        <v>46189</v>
      </c>
      <c r="C174" s="12" t="s">
        <v>9</v>
      </c>
      <c r="D174" s="15" t="n">
        <v>110.1</v>
      </c>
      <c r="E174" s="16" t="n">
        <v>17.6362</v>
      </c>
      <c r="F174" s="14" t="n">
        <v>2000</v>
      </c>
      <c r="G174" s="14" t="n">
        <f aca="false">G173+F174</f>
        <v>1575500</v>
      </c>
    </row>
    <row r="175" customFormat="false" ht="15" hidden="false" customHeight="true" outlineLevel="0" collapsed="false">
      <c r="A175" s="12" t="n">
        <v>171</v>
      </c>
      <c r="B175" s="13" t="n">
        <v>46200</v>
      </c>
      <c r="C175" s="12" t="s">
        <v>8</v>
      </c>
      <c r="D175" s="15" t="n">
        <v>8945.36</v>
      </c>
      <c r="E175" s="16" t="n">
        <v>0.6512</v>
      </c>
      <c r="F175" s="14" t="n">
        <v>6000</v>
      </c>
      <c r="G175" s="14" t="n">
        <f aca="false">G174+F175</f>
        <v>1581500</v>
      </c>
    </row>
    <row r="176" customFormat="false" ht="15" hidden="false" customHeight="true" outlineLevel="0" collapsed="false">
      <c r="A176" s="12" t="n">
        <v>172</v>
      </c>
      <c r="B176" s="13" t="n">
        <v>46210</v>
      </c>
      <c r="C176" s="12" t="s">
        <v>9</v>
      </c>
      <c r="D176" s="15" t="n">
        <v>107.94</v>
      </c>
      <c r="E176" s="16" t="n">
        <v>161.9023</v>
      </c>
      <c r="F176" s="14" t="n">
        <v>18000</v>
      </c>
      <c r="G176" s="14" t="n">
        <f aca="false">G175+F176</f>
        <v>1599500</v>
      </c>
    </row>
    <row r="177" customFormat="false" ht="15" hidden="false" customHeight="true" outlineLevel="0" collapsed="false">
      <c r="A177" s="12" t="n">
        <v>173</v>
      </c>
      <c r="B177" s="13" t="n">
        <v>46213</v>
      </c>
      <c r="C177" s="12" t="s">
        <v>9</v>
      </c>
      <c r="D177" s="15" t="n">
        <v>103.54</v>
      </c>
      <c r="E177" s="16" t="n">
        <v>281.3039</v>
      </c>
      <c r="F177" s="14" t="n">
        <v>30000</v>
      </c>
      <c r="G177" s="14" t="n">
        <f aca="false">G176+F177</f>
        <v>1629500</v>
      </c>
    </row>
    <row r="178" customFormat="false" ht="15" hidden="false" customHeight="true" outlineLevel="0" collapsed="false">
      <c r="A178" s="12" t="n">
        <v>174</v>
      </c>
      <c r="B178" s="13" t="n">
        <v>46219</v>
      </c>
      <c r="C178" s="12" t="s">
        <v>9</v>
      </c>
      <c r="D178" s="15" t="n">
        <v>108.11</v>
      </c>
      <c r="E178" s="16" t="n">
        <v>26.9413</v>
      </c>
      <c r="F178" s="14" t="n">
        <v>3000</v>
      </c>
      <c r="G178" s="14" t="n">
        <f aca="false">G177+F178</f>
        <v>1632500</v>
      </c>
    </row>
    <row r="179" customFormat="false" ht="15" hidden="false" customHeight="true" outlineLevel="0" collapsed="false">
      <c r="A179" s="12" t="n">
        <v>175</v>
      </c>
      <c r="B179" s="13" t="n">
        <v>46228</v>
      </c>
      <c r="C179" s="12" t="s">
        <v>9</v>
      </c>
      <c r="D179" s="15" t="n">
        <v>111.17</v>
      </c>
      <c r="E179" s="16" t="n">
        <v>130.9986</v>
      </c>
      <c r="F179" s="14" t="n">
        <v>15000</v>
      </c>
      <c r="G179" s="14" t="n">
        <f aca="false">G178+F179</f>
        <v>1647500</v>
      </c>
    </row>
    <row r="180" customFormat="false" ht="15" hidden="false" customHeight="true" outlineLevel="0" collapsed="false">
      <c r="A180" s="12" t="n">
        <v>176</v>
      </c>
      <c r="B180" s="13" t="n">
        <v>46234</v>
      </c>
      <c r="C180" s="12" t="s">
        <v>9</v>
      </c>
      <c r="D180" s="15" t="n">
        <v>105.49</v>
      </c>
      <c r="E180" s="16" t="n">
        <v>23.0086</v>
      </c>
      <c r="F180" s="14" t="n">
        <v>2500</v>
      </c>
      <c r="G180" s="14" t="n">
        <f aca="false">G179+F180</f>
        <v>1650000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2026-08-06T09:20:55Z</dcterms:created>
  <dc:creator>openpyxl</dc:creator>
  <dc:description/>
  <dc:language>en-US</dc:language>
  <cp:lastModifiedBy/>
  <dcterms:modified xsi:type="dcterms:W3CDTF">2026-08-06T09:22:34Z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